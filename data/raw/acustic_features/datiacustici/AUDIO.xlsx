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EXP LAB 2023\PROGETTO ANALISI VOCE PSICO\"/>
    </mc:Choice>
  </mc:AlternateContent>
  <xr:revisionPtr revIDLastSave="0" documentId="13_ncr:1_{01628548-1DCF-4C05-B00C-DB6D7A52DD70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BASELINE" sheetId="1" r:id="rId1"/>
    <sheet name="PRE" sheetId="2" r:id="rId2"/>
    <sheet name="PO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3" l="1"/>
  <c r="C77" i="3"/>
  <c r="C101" i="3"/>
  <c r="C130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8" i="3"/>
  <c r="C19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7" i="3"/>
  <c r="C48" i="3"/>
  <c r="C49" i="3"/>
  <c r="C50" i="3"/>
  <c r="C51" i="3"/>
  <c r="C52" i="3"/>
  <c r="C53" i="3"/>
  <c r="C54" i="3"/>
  <c r="C55" i="3"/>
  <c r="C56" i="3"/>
  <c r="C57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3" i="3"/>
  <c r="C94" i="3"/>
  <c r="C95" i="3"/>
  <c r="C96" i="3"/>
  <c r="C97" i="3"/>
  <c r="C98" i="3"/>
  <c r="C99" i="3"/>
  <c r="C100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5" i="3"/>
  <c r="C126" i="3"/>
  <c r="C127" i="3"/>
  <c r="C128" i="3"/>
  <c r="C129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92" i="3"/>
  <c r="C17" i="3"/>
  <c r="C124" i="3"/>
  <c r="C46" i="3"/>
  <c r="C20" i="3"/>
  <c r="B136" i="3"/>
  <c r="B73" i="3"/>
  <c r="B50" i="3"/>
  <c r="B14" i="3"/>
  <c r="B58" i="3"/>
  <c r="B77" i="3"/>
  <c r="B101" i="3"/>
  <c r="B130" i="3"/>
  <c r="B2" i="3"/>
  <c r="B3" i="3"/>
  <c r="B4" i="3"/>
  <c r="B5" i="3"/>
  <c r="B6" i="3"/>
  <c r="B7" i="3"/>
  <c r="B8" i="3"/>
  <c r="B9" i="3"/>
  <c r="B10" i="3"/>
  <c r="B11" i="3"/>
  <c r="B12" i="3"/>
  <c r="B13" i="3"/>
  <c r="B15" i="3"/>
  <c r="B16" i="3"/>
  <c r="B18" i="3"/>
  <c r="B19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7" i="3"/>
  <c r="B48" i="3"/>
  <c r="B49" i="3"/>
  <c r="B51" i="3"/>
  <c r="B52" i="3"/>
  <c r="B53" i="3"/>
  <c r="B54" i="3"/>
  <c r="B55" i="3"/>
  <c r="B56" i="3"/>
  <c r="B57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4" i="3"/>
  <c r="B75" i="3"/>
  <c r="B76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3" i="3"/>
  <c r="B94" i="3"/>
  <c r="B95" i="3"/>
  <c r="B96" i="3"/>
  <c r="B97" i="3"/>
  <c r="B98" i="3"/>
  <c r="B99" i="3"/>
  <c r="B100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5" i="3"/>
  <c r="B126" i="3"/>
  <c r="B127" i="3"/>
  <c r="B128" i="3"/>
  <c r="B129" i="3"/>
  <c r="B131" i="3"/>
  <c r="B132" i="3"/>
  <c r="B133" i="3"/>
  <c r="B134" i="3"/>
  <c r="B135" i="3"/>
  <c r="B137" i="3"/>
  <c r="B138" i="3"/>
  <c r="B139" i="3"/>
  <c r="B140" i="3"/>
  <c r="B141" i="3"/>
  <c r="B142" i="3"/>
  <c r="B92" i="3"/>
  <c r="B17" i="3"/>
  <c r="B124" i="3"/>
  <c r="B46" i="3"/>
  <c r="B20" i="3"/>
  <c r="C58" i="2"/>
  <c r="C77" i="2"/>
  <c r="C101" i="2"/>
  <c r="C130" i="2"/>
  <c r="C2" i="2"/>
  <c r="C3" i="2"/>
  <c r="C4" i="2"/>
  <c r="C5" i="2"/>
  <c r="C6" i="2"/>
  <c r="C7" i="2"/>
  <c r="C8" i="2"/>
  <c r="C9" i="2"/>
  <c r="C11" i="2"/>
  <c r="C12" i="2"/>
  <c r="C13" i="2"/>
  <c r="C14" i="2"/>
  <c r="C15" i="2"/>
  <c r="C16" i="2"/>
  <c r="C17" i="2"/>
  <c r="C18" i="2"/>
  <c r="C19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6" i="2"/>
  <c r="C37" i="2"/>
  <c r="C38" i="2"/>
  <c r="C39" i="2"/>
  <c r="C40" i="2"/>
  <c r="C41" i="2"/>
  <c r="C42" i="2"/>
  <c r="C43" i="2"/>
  <c r="C44" i="2"/>
  <c r="C45" i="2"/>
  <c r="C46" i="2"/>
  <c r="C47" i="2"/>
  <c r="C49" i="2"/>
  <c r="C50" i="2"/>
  <c r="C51" i="2"/>
  <c r="C52" i="2"/>
  <c r="C53" i="2"/>
  <c r="C54" i="2"/>
  <c r="C55" i="2"/>
  <c r="C56" i="2"/>
  <c r="C57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3" i="2"/>
  <c r="C94" i="2"/>
  <c r="C95" i="2"/>
  <c r="C96" i="2"/>
  <c r="C97" i="2"/>
  <c r="C98" i="2"/>
  <c r="C99" i="2"/>
  <c r="C100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0" i="2"/>
  <c r="C35" i="2"/>
  <c r="C48" i="2"/>
  <c r="C92" i="2"/>
  <c r="C20" i="2"/>
  <c r="B35" i="2"/>
  <c r="B13" i="2"/>
  <c r="B58" i="2"/>
  <c r="B77" i="2"/>
  <c r="B101" i="2"/>
  <c r="B130" i="2"/>
  <c r="B2" i="2"/>
  <c r="B3" i="2"/>
  <c r="B4" i="2"/>
  <c r="B5" i="2"/>
  <c r="B6" i="2"/>
  <c r="B7" i="2"/>
  <c r="B8" i="2"/>
  <c r="B9" i="2"/>
  <c r="B11" i="2"/>
  <c r="B12" i="2"/>
  <c r="B14" i="2"/>
  <c r="B15" i="2"/>
  <c r="B16" i="2"/>
  <c r="B17" i="2"/>
  <c r="B18" i="2"/>
  <c r="B19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6" i="2"/>
  <c r="B37" i="2"/>
  <c r="B38" i="2"/>
  <c r="B39" i="2"/>
  <c r="B40" i="2"/>
  <c r="B41" i="2"/>
  <c r="B42" i="2"/>
  <c r="B43" i="2"/>
  <c r="B44" i="2"/>
  <c r="B45" i="2"/>
  <c r="B46" i="2"/>
  <c r="B47" i="2"/>
  <c r="B49" i="2"/>
  <c r="B50" i="2"/>
  <c r="B51" i="2"/>
  <c r="B52" i="2"/>
  <c r="B53" i="2"/>
  <c r="B54" i="2"/>
  <c r="B55" i="2"/>
  <c r="B56" i="2"/>
  <c r="B57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3" i="2"/>
  <c r="B94" i="2"/>
  <c r="B95" i="2"/>
  <c r="B96" i="2"/>
  <c r="B97" i="2"/>
  <c r="B98" i="2"/>
  <c r="B99" i="2"/>
  <c r="B100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0" i="2"/>
  <c r="B48" i="2"/>
  <c r="B92" i="2"/>
  <c r="B20" i="2"/>
  <c r="C4" i="1"/>
  <c r="C24" i="1"/>
  <c r="C26" i="1"/>
  <c r="C59" i="1"/>
  <c r="C61" i="1"/>
  <c r="C79" i="1"/>
  <c r="C83" i="1"/>
  <c r="C86" i="1"/>
  <c r="C89" i="1"/>
  <c r="C90" i="1"/>
  <c r="C101" i="1"/>
  <c r="C111" i="1"/>
  <c r="C112" i="1"/>
  <c r="C118" i="1"/>
  <c r="C124" i="1"/>
  <c r="C135" i="1"/>
  <c r="C12" i="1"/>
  <c r="C14" i="1"/>
  <c r="C16" i="1"/>
  <c r="C18" i="1"/>
  <c r="C41" i="1"/>
  <c r="C43" i="1"/>
  <c r="C52" i="1"/>
  <c r="C56" i="1"/>
  <c r="C71" i="1"/>
  <c r="C77" i="1"/>
  <c r="C80" i="1"/>
  <c r="C108" i="1"/>
  <c r="C117" i="1"/>
  <c r="C137" i="1"/>
  <c r="C11" i="1"/>
  <c r="C15" i="1"/>
  <c r="C20" i="1"/>
  <c r="C21" i="1"/>
  <c r="C28" i="1"/>
  <c r="C36" i="1"/>
  <c r="C40" i="1"/>
  <c r="C42" i="1"/>
  <c r="C48" i="1"/>
  <c r="C60" i="1"/>
  <c r="C65" i="1"/>
  <c r="C66" i="1"/>
  <c r="C73" i="1"/>
  <c r="C76" i="1"/>
  <c r="C78" i="1"/>
  <c r="C96" i="1"/>
  <c r="C98" i="1"/>
  <c r="C104" i="1"/>
  <c r="C120" i="1"/>
  <c r="C122" i="1"/>
  <c r="C123" i="1"/>
  <c r="C138" i="1"/>
  <c r="C140" i="1"/>
  <c r="C133" i="1"/>
  <c r="C3" i="1"/>
  <c r="C19" i="1"/>
  <c r="C27" i="1"/>
  <c r="C31" i="1"/>
  <c r="C44" i="1"/>
  <c r="C47" i="1"/>
  <c r="C72" i="1"/>
  <c r="C75" i="1"/>
  <c r="C81" i="1"/>
  <c r="C84" i="1"/>
  <c r="C85" i="1"/>
  <c r="C92" i="1"/>
  <c r="C119" i="1"/>
  <c r="C139" i="1"/>
  <c r="C7" i="1"/>
  <c r="C9" i="1"/>
  <c r="C10" i="1"/>
  <c r="C13" i="1"/>
  <c r="C17" i="1"/>
  <c r="C23" i="1"/>
  <c r="C29" i="1"/>
  <c r="C30" i="1"/>
  <c r="C39" i="1"/>
  <c r="C45" i="1"/>
  <c r="C50" i="1"/>
  <c r="C51" i="1"/>
  <c r="C54" i="1"/>
  <c r="C55" i="1"/>
  <c r="C63" i="1"/>
  <c r="C67" i="1"/>
  <c r="C68" i="1"/>
  <c r="C82" i="1"/>
  <c r="C87" i="1"/>
  <c r="C103" i="1"/>
  <c r="C107" i="1"/>
  <c r="C110" i="1"/>
  <c r="C116" i="1"/>
  <c r="C126" i="1"/>
  <c r="C127" i="1"/>
  <c r="C129" i="1"/>
  <c r="C132" i="1"/>
  <c r="C134" i="1"/>
  <c r="C35" i="1"/>
  <c r="C5" i="1"/>
  <c r="C6" i="1"/>
  <c r="C32" i="1"/>
  <c r="C33" i="1"/>
  <c r="C37" i="1"/>
  <c r="C46" i="1"/>
  <c r="C49" i="1"/>
  <c r="C57" i="1"/>
  <c r="C58" i="1"/>
  <c r="C69" i="1"/>
  <c r="C74" i="1"/>
  <c r="C93" i="1"/>
  <c r="C94" i="1"/>
  <c r="C95" i="1"/>
  <c r="C100" i="1"/>
  <c r="C102" i="1"/>
  <c r="C115" i="1"/>
  <c r="C125" i="1"/>
  <c r="C136" i="1"/>
  <c r="C141" i="1"/>
  <c r="C130" i="1"/>
  <c r="C34" i="1"/>
  <c r="C105" i="1"/>
  <c r="C128" i="1"/>
  <c r="C91" i="1"/>
  <c r="C38" i="1"/>
  <c r="C62" i="1"/>
  <c r="C113" i="1"/>
  <c r="C8" i="1"/>
  <c r="C64" i="1"/>
  <c r="C106" i="1"/>
  <c r="C22" i="1"/>
  <c r="C25" i="1"/>
  <c r="C53" i="1"/>
  <c r="C70" i="1"/>
  <c r="C97" i="1"/>
  <c r="C99" i="1"/>
  <c r="C109" i="1"/>
  <c r="C114" i="1"/>
  <c r="C121" i="1"/>
  <c r="C131" i="1"/>
  <c r="C142" i="1"/>
  <c r="C2" i="1"/>
  <c r="C88" i="1"/>
  <c r="B62" i="1"/>
  <c r="B130" i="1"/>
  <c r="B61" i="1"/>
  <c r="B2" i="1"/>
  <c r="B4" i="1"/>
  <c r="B24" i="1"/>
  <c r="B26" i="1"/>
  <c r="B59" i="1"/>
  <c r="B79" i="1"/>
  <c r="B83" i="1"/>
  <c r="B86" i="1"/>
  <c r="B89" i="1"/>
  <c r="B90" i="1"/>
  <c r="B101" i="1"/>
  <c r="B111" i="1"/>
  <c r="B112" i="1"/>
  <c r="B118" i="1"/>
  <c r="B124" i="1"/>
  <c r="B135" i="1"/>
  <c r="B12" i="1"/>
  <c r="B14" i="1"/>
  <c r="B16" i="1"/>
  <c r="B18" i="1"/>
  <c r="B41" i="1"/>
  <c r="B43" i="1"/>
  <c r="B52" i="1"/>
  <c r="B56" i="1"/>
  <c r="B71" i="1"/>
  <c r="B77" i="1"/>
  <c r="B80" i="1"/>
  <c r="B108" i="1"/>
  <c r="B117" i="1"/>
  <c r="B137" i="1"/>
  <c r="B11" i="1"/>
  <c r="B15" i="1"/>
  <c r="B20" i="1"/>
  <c r="B21" i="1"/>
  <c r="B28" i="1"/>
  <c r="B36" i="1"/>
  <c r="B40" i="1"/>
  <c r="B42" i="1"/>
  <c r="B48" i="1"/>
  <c r="B60" i="1"/>
  <c r="B65" i="1"/>
  <c r="B66" i="1"/>
  <c r="B73" i="1"/>
  <c r="B76" i="1"/>
  <c r="B78" i="1"/>
  <c r="B96" i="1"/>
  <c r="B98" i="1"/>
  <c r="B104" i="1"/>
  <c r="B120" i="1"/>
  <c r="B122" i="1"/>
  <c r="B123" i="1"/>
  <c r="B138" i="1"/>
  <c r="B140" i="1"/>
  <c r="B133" i="1"/>
  <c r="B3" i="1"/>
  <c r="B19" i="1"/>
  <c r="B27" i="1"/>
  <c r="B31" i="1"/>
  <c r="B44" i="1"/>
  <c r="B47" i="1"/>
  <c r="B72" i="1"/>
  <c r="B75" i="1"/>
  <c r="B81" i="1"/>
  <c r="B84" i="1"/>
  <c r="B85" i="1"/>
  <c r="B92" i="1"/>
  <c r="B119" i="1"/>
  <c r="B139" i="1"/>
  <c r="B7" i="1"/>
  <c r="B9" i="1"/>
  <c r="B10" i="1"/>
  <c r="B13" i="1"/>
  <c r="B17" i="1"/>
  <c r="B23" i="1"/>
  <c r="B29" i="1"/>
  <c r="B30" i="1"/>
  <c r="B39" i="1"/>
  <c r="B45" i="1"/>
  <c r="B50" i="1"/>
  <c r="B51" i="1"/>
  <c r="B54" i="1"/>
  <c r="B55" i="1"/>
  <c r="B63" i="1"/>
  <c r="B67" i="1"/>
  <c r="B68" i="1"/>
  <c r="B82" i="1"/>
  <c r="B87" i="1"/>
  <c r="B103" i="1"/>
  <c r="B107" i="1"/>
  <c r="B110" i="1"/>
  <c r="B116" i="1"/>
  <c r="B126" i="1"/>
  <c r="B127" i="1"/>
  <c r="B129" i="1"/>
  <c r="B132" i="1"/>
  <c r="B134" i="1"/>
  <c r="B35" i="1"/>
  <c r="B5" i="1"/>
  <c r="B6" i="1"/>
  <c r="B32" i="1"/>
  <c r="B33" i="1"/>
  <c r="B37" i="1"/>
  <c r="B46" i="1"/>
  <c r="B49" i="1"/>
  <c r="B57" i="1"/>
  <c r="B58" i="1"/>
  <c r="B69" i="1"/>
  <c r="B74" i="1"/>
  <c r="B93" i="1"/>
  <c r="B94" i="1"/>
  <c r="B95" i="1"/>
  <c r="B100" i="1"/>
  <c r="B102" i="1"/>
  <c r="B115" i="1"/>
  <c r="B125" i="1"/>
  <c r="B136" i="1"/>
  <c r="B141" i="1"/>
  <c r="B34" i="1"/>
  <c r="B105" i="1"/>
  <c r="B128" i="1"/>
  <c r="B91" i="1"/>
  <c r="B38" i="1"/>
  <c r="B113" i="1"/>
  <c r="B8" i="1"/>
  <c r="B64" i="1"/>
  <c r="B106" i="1"/>
  <c r="B22" i="1"/>
  <c r="B25" i="1"/>
  <c r="B53" i="1"/>
  <c r="B70" i="1"/>
  <c r="B97" i="1"/>
  <c r="B99" i="1"/>
  <c r="B109" i="1"/>
  <c r="B114" i="1"/>
  <c r="B121" i="1"/>
  <c r="B131" i="1"/>
  <c r="B142" i="1"/>
  <c r="B88" i="1"/>
</calcChain>
</file>

<file path=xl/sharedStrings.xml><?xml version="1.0" encoding="utf-8"?>
<sst xmlns="http://schemas.openxmlformats.org/spreadsheetml/2006/main" count="1098" uniqueCount="559">
  <si>
    <t>Case</t>
  </si>
  <si>
    <t>VoiceEmission</t>
  </si>
  <si>
    <t>F0 mean Hz /a/</t>
  </si>
  <si>
    <t>F0 median Hz /a/</t>
  </si>
  <si>
    <t>F0 std Hz /a/</t>
  </si>
  <si>
    <t>F0 min Hz /a/</t>
  </si>
  <si>
    <t>T0 F0min s /a/</t>
  </si>
  <si>
    <t>F0 max Hz /a/</t>
  </si>
  <si>
    <t>T0 F0max s /a/</t>
  </si>
  <si>
    <t>Jitter /a/</t>
  </si>
  <si>
    <t>NNE /a/</t>
  </si>
  <si>
    <t>F1 mean Hz /a/</t>
  </si>
  <si>
    <t xml:space="preserve">F1 Median Hz /a/ </t>
  </si>
  <si>
    <t>F1 Std Hz /a/</t>
  </si>
  <si>
    <t>F1 min Hz /a/</t>
  </si>
  <si>
    <t>F1 max Hz /a/</t>
  </si>
  <si>
    <t>F2 mean Hz /a/</t>
  </si>
  <si>
    <t xml:space="preserve">F2 Median Hz /a/ </t>
  </si>
  <si>
    <t>F2 Std Hz /a/</t>
  </si>
  <si>
    <t>F2 min Hz /a/</t>
  </si>
  <si>
    <t>F2 max Hz /a/</t>
  </si>
  <si>
    <t>F3 mean Hz /a/</t>
  </si>
  <si>
    <t xml:space="preserve">F3 Median Hz /a/ </t>
  </si>
  <si>
    <t>F3 Std Hz /a/</t>
  </si>
  <si>
    <t>F3 min Hz /a/</t>
  </si>
  <si>
    <t>F3 max Hz /a/</t>
  </si>
  <si>
    <t>signalDuration s /a/</t>
  </si>
  <si>
    <t>F0 mean Hz /i/</t>
  </si>
  <si>
    <t>F0 median Hz /i/</t>
  </si>
  <si>
    <t>F0 std Hz /i/</t>
  </si>
  <si>
    <t>F0 min Hz /i/</t>
  </si>
  <si>
    <t>T0 F0min s /i/</t>
  </si>
  <si>
    <t>F0 max Hz /i/</t>
  </si>
  <si>
    <t>T0 F0max s /i/</t>
  </si>
  <si>
    <t>Jitter /i/</t>
  </si>
  <si>
    <t>NNE /i/</t>
  </si>
  <si>
    <t>F1 mean Hz /i/</t>
  </si>
  <si>
    <t xml:space="preserve">F1 Median Hz /i/ </t>
  </si>
  <si>
    <t>F1 Std Hz /i/</t>
  </si>
  <si>
    <t>F1 min Hz /i/</t>
  </si>
  <si>
    <t>F1 max Hz /i/</t>
  </si>
  <si>
    <t>F2 mean Hz /i/</t>
  </si>
  <si>
    <t xml:space="preserve">F2 Median Hz /i/ </t>
  </si>
  <si>
    <t>F2 Std Hz /i/</t>
  </si>
  <si>
    <t>F2 min Hz /i/</t>
  </si>
  <si>
    <t>F2 max Hz /i/</t>
  </si>
  <si>
    <t>F3 mean Hz /i/</t>
  </si>
  <si>
    <t xml:space="preserve">F3 Median Hz /i/ </t>
  </si>
  <si>
    <t>F3 Std Hz /i/</t>
  </si>
  <si>
    <t>F3 min Hz /i/</t>
  </si>
  <si>
    <t>F3 max Hz /i/</t>
  </si>
  <si>
    <t>signalDuration s /i/</t>
  </si>
  <si>
    <t>F0 mean Hz /u/</t>
  </si>
  <si>
    <t>F0 median Hz /u/</t>
  </si>
  <si>
    <t>F0 std Hz /u/</t>
  </si>
  <si>
    <t>F0 min Hz /u/</t>
  </si>
  <si>
    <t>T0 F0min s /u/</t>
  </si>
  <si>
    <t>F0 max Hz /u/</t>
  </si>
  <si>
    <t>T0 F0max s /u/</t>
  </si>
  <si>
    <t>Jitter /u/</t>
  </si>
  <si>
    <t>NNE /u/</t>
  </si>
  <si>
    <t>F1 mean Hz /u/</t>
  </si>
  <si>
    <t xml:space="preserve">F1 Median Hz /u/ </t>
  </si>
  <si>
    <t>F1 Std Hz /u/</t>
  </si>
  <si>
    <t>F1 min Hz /u/</t>
  </si>
  <si>
    <t>F1 max Hz /u/</t>
  </si>
  <si>
    <t>F2 mean Hz /u/</t>
  </si>
  <si>
    <t xml:space="preserve">F2 Median Hz /u/ </t>
  </si>
  <si>
    <t>F2 Std Hz /u/</t>
  </si>
  <si>
    <t>F2 min Hz /u/</t>
  </si>
  <si>
    <t>F2 max Hz /u/</t>
  </si>
  <si>
    <t>F3 mean Hz /u/</t>
  </si>
  <si>
    <t xml:space="preserve">F3 Median Hz /u/ </t>
  </si>
  <si>
    <t>F3 Std Hz /u/</t>
  </si>
  <si>
    <t>F3 min Hz /u/</t>
  </si>
  <si>
    <t>F3 max Hz /u/</t>
  </si>
  <si>
    <t>signalDuration s /u/</t>
  </si>
  <si>
    <t>BSL_a2_01_03_2025 - ir_sa_2005_07_04_464</t>
  </si>
  <si>
    <t>Voiced</t>
  </si>
  <si>
    <t>BSL_a2_01_04_2025 - ad_pa_2006_01_27_630</t>
  </si>
  <si>
    <t>BSL_a2_01_04_2025 - al_bo_2002_07_25_563</t>
  </si>
  <si>
    <t>BSL_a2_01_04_2025 - au_lo_2005_04_04_587</t>
  </si>
  <si>
    <t>BSL_a2_01_04_2025 - au_te_2005_05_22_789</t>
  </si>
  <si>
    <t>BSL_a2_01_04_2025 - el_sp_2004_08_03_826</t>
  </si>
  <si>
    <t>BSL_a2_01_04_2025 - ev_tu_2004_10_06_265_ONLY_VOWELS</t>
  </si>
  <si>
    <t>BSL_a2_01_04_2025 - gi_ru_2005_03_08_033</t>
  </si>
  <si>
    <t>BSL_a2_01_04_2025 - gr_pe_2005_11_17_273</t>
  </si>
  <si>
    <t>BSL_a2_01_04_2025 - il_re_2006_01_18_645</t>
  </si>
  <si>
    <t>BSL_a2_01_04_2025 - ir_te_2005_12_19_790</t>
  </si>
  <si>
    <t>BSL_a2_01_04_2025 - je_le_2005_12_23_699</t>
  </si>
  <si>
    <t>BSL_a2_01_04_2025 - ma_ca_1996_09_14_696</t>
  </si>
  <si>
    <t>BSL_a2_01_04_2025 - ma_pi_2004_12_22_169</t>
  </si>
  <si>
    <t>BSL_a2_01_04_2025 - ma_ro_2004_01_18_699</t>
  </si>
  <si>
    <t>BSL_a2_01_04_2025 - ma_ti_2006_01_05_815</t>
  </si>
  <si>
    <t>BSL_a2_01_04_2025 - pa_po_2005_02_13_810</t>
  </si>
  <si>
    <t>BSL_a2_01_04_2025 - so_ru_2006_02_08_848</t>
  </si>
  <si>
    <t>BSL_a2_02_04_2025 - am_bo_1988_08_24_166</t>
  </si>
  <si>
    <t>BSL_a2_02_04_2025 - an_ba_2001_12_27_169</t>
  </si>
  <si>
    <t>BSL_a2_02_04_2025 - an_pu_2004_12_28_073</t>
  </si>
  <si>
    <t>BSL_a2_02_04_2025 - ar_br_2001_08_21_449</t>
  </si>
  <si>
    <t>BSL_a2_02_04_2025 - ch_ch_1999_10_05_790</t>
  </si>
  <si>
    <t>BSL_a2_02_04_2025 - ch_mo_2005_07_21_173</t>
  </si>
  <si>
    <t>BSL_a2_02_04_2025 - el_fi_2000_06_25_140</t>
  </si>
  <si>
    <t>BSL_a2_02_04_2025 - el_ro_1992_05_28_005</t>
  </si>
  <si>
    <t>BSL_a2_02_04_2025 - gi_ga_2001_03_16_540</t>
  </si>
  <si>
    <t>BSL_a2_02_04_2025 - gi_mo_2000_12_02_831</t>
  </si>
  <si>
    <t>BSL_a2_02_04_2025 - gi_so_2005_09_11_398</t>
  </si>
  <si>
    <t>BSL_a2_02_04_2025 - ma_mo_2005_03_08_142</t>
  </si>
  <si>
    <t>BSL_a2_02_04_2025 - ma_ta_2006_01_28_997</t>
  </si>
  <si>
    <t>BSL_a2_02_04_2025 - so_vi_2006_01_30_222</t>
  </si>
  <si>
    <t>BSL_a2_03_04_2025 - al_va_2004_12_16_206</t>
  </si>
  <si>
    <t>BSL_a2_03_04_2025 - an_ca_2002_02_24_956</t>
  </si>
  <si>
    <t>BSL_a2_03_04_2025 - as_gr_2000_07_17_648</t>
  </si>
  <si>
    <t>BSL_a2_03_04_2025 - as_li_2005_04_26_447</t>
  </si>
  <si>
    <t>BSL_a2_03_04_2025 - be_ra_2005_06_09_810</t>
  </si>
  <si>
    <t>BSL_a2_03_04_2025 - ca_ur_2005_01_27_051</t>
  </si>
  <si>
    <t>BSL_a2_03_04_2025 - ch_bl_2001_09_25_360</t>
  </si>
  <si>
    <t>BSL_a2_03_04_2025 - ch_fa_1992_09_30_085</t>
  </si>
  <si>
    <t>BSL_a2_03_04_2025 - cl_me_2004_10_20_681</t>
  </si>
  <si>
    <t>BSL_a2_03_04_2025 - em_di_2000_04_26_182</t>
  </si>
  <si>
    <t>BSL_a2_03_04_2025 - fr_di_2002_05_11_518</t>
  </si>
  <si>
    <t>BSL_a2_03_04_2025 - fr_ga_1998_02_14_859</t>
  </si>
  <si>
    <t>BSL_a2_03_04_2025 - gi_lo_2004_06_27_237</t>
  </si>
  <si>
    <t>BSL_a2_03_04_2025 - gi_me_2005_07_26_290</t>
  </si>
  <si>
    <t>BSL_a2_03_04_2025 - gi_ro_2004_07_30_589</t>
  </si>
  <si>
    <t>BSL_a2_03_04_2025 - la_pe_2005_12_15_770</t>
  </si>
  <si>
    <t>BSL_a2_03_04_2025 - li_se_2005_11_04_636</t>
  </si>
  <si>
    <t>BSL_a2_03_04_2025 - ma_lo_2005_06_26_262</t>
  </si>
  <si>
    <t>BSL_a2_03_04_2025 - ma_za_2004_06_10_668</t>
  </si>
  <si>
    <t>BSL_a2_03_04_2025 - no_bi_2001_04_24_039</t>
  </si>
  <si>
    <t>BSL_a2_03_04_2025 - no_un_2005_06_29_880</t>
  </si>
  <si>
    <t>BSL_a2_03_04_2025 - te_li_2005_06_12_911</t>
  </si>
  <si>
    <t>BSL_a2_03_04_2025 - va_ma_2005_05_31_567</t>
  </si>
  <si>
    <t>BSL_a2_04_03_2025 - so_nu_2005_03_11_255</t>
  </si>
  <si>
    <t>BSL_a2_04_04_2025 - ag_te_2004_05_26_499</t>
  </si>
  <si>
    <t>BSL_a2_04_04_2025 - ar_se_2005_06_30_070</t>
  </si>
  <si>
    <t>BSL_a2_04_04_2025 - az_sa_2004_04_06_567</t>
  </si>
  <si>
    <t>BSL_a2_04_04_2025 - ca_mu_2005_04_28_047</t>
  </si>
  <si>
    <t>BSL_a2_04_04_2025 - ch_pr_2005_04_08_406</t>
  </si>
  <si>
    <t>BSL_a2_04_04_2025 - cl_de_1999_11_04_085</t>
  </si>
  <si>
    <t>BSL_a2_04_04_2025 - gi_la_2005_03_15_562</t>
  </si>
  <si>
    <t>BSL_a2_04_04_2025 - gi_ma_2006_01_06_210</t>
  </si>
  <si>
    <t>BSL_a2_04_04_2025 - gi_to_2004_06_25_982</t>
  </si>
  <si>
    <t>BSL_a2_04_04_2025 - hi_na_2005_03_08_339</t>
  </si>
  <si>
    <t>BSL_a2_04_04_2025 - il_le_2005_11_13_728</t>
  </si>
  <si>
    <t>BSL_a2_04_04_2025 - ke_zh_2005_05_28_685</t>
  </si>
  <si>
    <t>BSL_a2_04_04_2025 - ma_va_2005_03_05_742</t>
  </si>
  <si>
    <t>BSL_a2_04_04_2025 - va_li_2004_04_15_257</t>
  </si>
  <si>
    <t>BSL_a2_05_04_2025 - al_mi_2004_04_28_724</t>
  </si>
  <si>
    <t>BSL_a2_05_04_2025 - al_pe_2001_04_20_079</t>
  </si>
  <si>
    <t>BSL_a2_05_04_2025 - al_sc_2000_09_09_522</t>
  </si>
  <si>
    <t>BSL_a2_05_04_2025 - am_or_2005_07_19_155</t>
  </si>
  <si>
    <t>BSL_a2_05_04_2025 - an_ra_2004_06_07_770</t>
  </si>
  <si>
    <t>BSL_a2_05_04_2025 - as_st_2005_11_28_811</t>
  </si>
  <si>
    <t>BSL_a2_05_04_2025 - bi_za_2005_02_22_631</t>
  </si>
  <si>
    <t>BSL_a2_05_04_2025 - ca_ba_1999_03_11_977</t>
  </si>
  <si>
    <t>BSL_a2_05_04_2025 - ch_bi_2001_01_28_407</t>
  </si>
  <si>
    <t>BSL_a2_05_04_2025 - ch_ta_2005_12_03_835</t>
  </si>
  <si>
    <t>BSL_a2_05_04_2025 - da_ba_1996_03_25_685</t>
  </si>
  <si>
    <t>BSL_a2_05_04_2025 - el_br_2002_07_12_207</t>
  </si>
  <si>
    <t>BSL_a2_05_04_2025 - el_pa_2005_03_01_796</t>
  </si>
  <si>
    <t>BSL_a2_05_04_2025 - el_pa_2005_08_14_772</t>
  </si>
  <si>
    <t>BSL_a2_05_04_2025 - fe_gi_1999_08_28_709</t>
  </si>
  <si>
    <t>BSL_a2_05_04_2025 - fr_pa_2005_07_15_344</t>
  </si>
  <si>
    <t>BSL_a2_05_04_2025 - ga_ba_2002_06_06_822</t>
  </si>
  <si>
    <t>BSL_a2_05_04_2025 - gi_tr_2005_09_08_335</t>
  </si>
  <si>
    <t>BSL_a2_05_04_2025 - ir_ma_2004_10_19_669</t>
  </si>
  <si>
    <t>BSL_a2_05_04_2025 - ma_ie_2000_07_31_515</t>
  </si>
  <si>
    <t>BSL_a2_05_04_2025 - ma_ma_2006_04_14_979</t>
  </si>
  <si>
    <t>BSL_a2_05_04_2025 - ma_pe_2005_09_29_691</t>
  </si>
  <si>
    <t>BSL_a2_05_04_2025 - ma_si_2003_10_31_940</t>
  </si>
  <si>
    <t>BSL_a2_05_04_2025 - re_ma_2005_11_25_490</t>
  </si>
  <si>
    <t>BSL_a2_05_04_2025 - ro_br_1995_10_30_057</t>
  </si>
  <si>
    <t>BSL_a2_05_04_2025 - sa_pa_2005_06_03_918</t>
  </si>
  <si>
    <t>BSL_a2_05_04_2025 - so_fa_1999_11_16_426</t>
  </si>
  <si>
    <t>BSL_a2_05_04_2025 - so_pa_2005_04_02_152</t>
  </si>
  <si>
    <t>BSL_a2_06_04_2005 - ca_te_2005_07_04_549</t>
  </si>
  <si>
    <t>BSL_a2_06_04_2025 - al_ca_2001_02_11_269</t>
  </si>
  <si>
    <t>BSL_a2_06_04_2025 - al_lo_1999_09_19_127</t>
  </si>
  <si>
    <t>BSL_a2_06_04_2025 - ca_pa_2005_04_20_282</t>
  </si>
  <si>
    <t>BSL_a2_06_04_2025 - ca_po_2005_11_08_041</t>
  </si>
  <si>
    <t>BSL_a2_06_04_2025 - ch_ar_1987_08_23_929</t>
  </si>
  <si>
    <t>BSL_a2_06_04_2025 - cl_bo_1987_10_16_628</t>
  </si>
  <si>
    <t>BSL_a2_06_04_2025 - cl_ra_2005_06_17_016</t>
  </si>
  <si>
    <t>BSL_a2_06_04_2025 - el_sa_2005_06_30_005</t>
  </si>
  <si>
    <t>BSL_a2_06_04_2025 - el_sp_2000_08_09_356</t>
  </si>
  <si>
    <t>BSL_a2_06_04_2025 - ga_sa_2005_04_30_467</t>
  </si>
  <si>
    <t>BSL_a2_06_04_2025 - gi_ma_2004_01_10_447</t>
  </si>
  <si>
    <t>BSL_a2_06_04_2025 - la_fi_2000_01_21_047</t>
  </si>
  <si>
    <t>BSL_a2_06_04_2025 - la_ma_2004_05_16_992</t>
  </si>
  <si>
    <t>BSL_a2_06_04_2025 - la_ma_2006_01_31_787</t>
  </si>
  <si>
    <t>BSL_a2_06_04_2025 - ly_vi_2005_11_24_863</t>
  </si>
  <si>
    <t>BSL_a2_06_04_2025 - ma_fa_2000_06_25_721</t>
  </si>
  <si>
    <t>BSL_a2_06_04_2025 - ma_sa_2005_01_31_124</t>
  </si>
  <si>
    <t>BSL_a2_06_04_2025 - ra_pe_2005_02_25_938</t>
  </si>
  <si>
    <t>BSL_a2_06_04_2025 - so_vi_2004_10_14_130</t>
  </si>
  <si>
    <t>BSL_a2_06_04_2025 - vi_ma_2004_06_14_505</t>
  </si>
  <si>
    <t>BSL_a2_07_04_2025 - se_co_1998_04_24_910_ONLY_VOWELS</t>
  </si>
  <si>
    <t>BSL_a2_09_04_2025 - ca_ro_2004_09_03_927</t>
  </si>
  <si>
    <t>BSL_a2_11_04_2025 - ma_ma_2004_10_11_947</t>
  </si>
  <si>
    <t>BSL_a2_11_04_2025 - sa_ol_2004_06_21_909</t>
  </si>
  <si>
    <t>BSL_a2_23_05_2025 - je_ma_2005_01_13_962</t>
  </si>
  <si>
    <t>BSL_a2_29_03_2025 - ch_ar_2000_08_08_388</t>
  </si>
  <si>
    <t>BSL_a2_29_03_2025 - fa_ca_2001_08_09_201_ONLY_VOWELS</t>
  </si>
  <si>
    <t>BSL_a2_29_03_2025 - ma_ro_2005_05_30_806</t>
  </si>
  <si>
    <t>BSL_a2_30_03_2025 - al_mo_2005_10_03_273</t>
  </si>
  <si>
    <t>BSL_a2_30_03_2025 - fr_ba_2001_12_15_595</t>
  </si>
  <si>
    <t>BSL_a2_30_03_2025 - ma_ma_2005_05_18_423</t>
  </si>
  <si>
    <t>BSL_a2_31_03_2025 - as_ri_2004_07_30_783</t>
  </si>
  <si>
    <t>BSL_a2_31_03_2025 - au_ri_2004_02_19_848</t>
  </si>
  <si>
    <t>BSL_a2_31_03_2025 - el_lu_2005_12_21_023</t>
  </si>
  <si>
    <t>BSL_a2_31_03_2025 - gi_ca_1995_01_27_425</t>
  </si>
  <si>
    <t>BSL_a2_31_03_2025 - le_du_2003_03_30_117</t>
  </si>
  <si>
    <t>BSL_a2_31_03_2025 - lu_ma_2005_11_04_366</t>
  </si>
  <si>
    <t>BSL_a2_31_03_2025 - ma_mo_2006_01_19_745</t>
  </si>
  <si>
    <t>BSL_a2_31_03_2025 - ma_ro_2005_07_29_713</t>
  </si>
  <si>
    <t>BSL_a2_31_03_2025 - ni_ru_2004_05_20_372</t>
  </si>
  <si>
    <t>BSL_a2_31_03_2025 - si_co_2002_08_13_884</t>
  </si>
  <si>
    <t>BSL_a2_31_03_2025 - vi_pi_2005_08_23_271</t>
  </si>
  <si>
    <t xml:space="preserve">F0 mean Hz /a/ </t>
  </si>
  <si>
    <t xml:space="preserve">F0 median Hz /a/ </t>
  </si>
  <si>
    <t xml:space="preserve">F0 std Hz /a/ </t>
  </si>
  <si>
    <t xml:space="preserve">F0 min Hz /a/ </t>
  </si>
  <si>
    <t xml:space="preserve">F0 max Hz /a/ </t>
  </si>
  <si>
    <t xml:space="preserve">F1 mean Hz /a/ </t>
  </si>
  <si>
    <t xml:space="preserve">F1 Std Hz /a/ </t>
  </si>
  <si>
    <t xml:space="preserve">F1 min Hz /a/ </t>
  </si>
  <si>
    <t xml:space="preserve">F1 max Hz /a/ </t>
  </si>
  <si>
    <t xml:space="preserve">F2 mean Hz /a/ </t>
  </si>
  <si>
    <t xml:space="preserve">F2 Std Hz /a/ </t>
  </si>
  <si>
    <t xml:space="preserve">F2 min Hz /a/ </t>
  </si>
  <si>
    <t xml:space="preserve">F2 max Hz /a/ </t>
  </si>
  <si>
    <t xml:space="preserve">F3 mean Hz /a/ </t>
  </si>
  <si>
    <t xml:space="preserve">F3 Std Hz /a/ </t>
  </si>
  <si>
    <t xml:space="preserve">F3 min Hz /a/ </t>
  </si>
  <si>
    <t xml:space="preserve">F3 max Hz /a/ </t>
  </si>
  <si>
    <t xml:space="preserve">F0 mean Hz /i/ </t>
  </si>
  <si>
    <t xml:space="preserve">F0 median Hz /i/ </t>
  </si>
  <si>
    <t xml:space="preserve">F0 std Hz /i/ </t>
  </si>
  <si>
    <t xml:space="preserve">F0 min Hz /i/ </t>
  </si>
  <si>
    <t xml:space="preserve">F0 max Hz /i/ </t>
  </si>
  <si>
    <t xml:space="preserve">F1 mean Hz /i/ </t>
  </si>
  <si>
    <t xml:space="preserve">F1 Std Hz /i/ </t>
  </si>
  <si>
    <t xml:space="preserve">F1 min Hz /i/ </t>
  </si>
  <si>
    <t xml:space="preserve">F1 max Hz /i/ </t>
  </si>
  <si>
    <t xml:space="preserve">F2 mean Hz /i/ </t>
  </si>
  <si>
    <t xml:space="preserve">F2 Std Hz /i/ </t>
  </si>
  <si>
    <t xml:space="preserve">F2 min Hz /i/ </t>
  </si>
  <si>
    <t xml:space="preserve">F2 max Hz /i/ </t>
  </si>
  <si>
    <t xml:space="preserve">F3 mean Hz /i/ </t>
  </si>
  <si>
    <t xml:space="preserve">F3 Std Hz /i/ </t>
  </si>
  <si>
    <t xml:space="preserve">F3 min Hz /i/ </t>
  </si>
  <si>
    <t xml:space="preserve">F3 max Hz /i/ </t>
  </si>
  <si>
    <t xml:space="preserve">F0 mean Hz /u/ </t>
  </si>
  <si>
    <t xml:space="preserve">F0 median Hz /u/ </t>
  </si>
  <si>
    <t xml:space="preserve">F0 std Hz /u/ </t>
  </si>
  <si>
    <t xml:space="preserve">F0 min Hz /u/ </t>
  </si>
  <si>
    <t xml:space="preserve">F0 max Hz /u/ </t>
  </si>
  <si>
    <t xml:space="preserve">F1 mean Hz /u/ </t>
  </si>
  <si>
    <t xml:space="preserve">F1 Std Hz /u/ </t>
  </si>
  <si>
    <t xml:space="preserve">F1 min Hz /u/ </t>
  </si>
  <si>
    <t xml:space="preserve">F1 max Hz /u/ </t>
  </si>
  <si>
    <t xml:space="preserve">F2 mean Hz /u/ </t>
  </si>
  <si>
    <t xml:space="preserve">F2 Std Hz /u/ </t>
  </si>
  <si>
    <t xml:space="preserve">F2 min Hz /u/ </t>
  </si>
  <si>
    <t xml:space="preserve">F2 max Hz /u/ </t>
  </si>
  <si>
    <t xml:space="preserve">F3 mean Hz /u/ </t>
  </si>
  <si>
    <t xml:space="preserve">F3 Std Hz /u/ </t>
  </si>
  <si>
    <t xml:space="preserve">F3 min Hz /u/ </t>
  </si>
  <si>
    <t xml:space="preserve">F3 max Hz /u/ </t>
  </si>
  <si>
    <t>PRE_a2_12_05_2025 - as_gr_2000_07_17_648</t>
  </si>
  <si>
    <t>PRE_a2_12_05_2025 - el_sp_2000_08_09_356_ONLY_VOWELS</t>
  </si>
  <si>
    <t>PRE_a2_12_05_2025 - gi_mo_2000_12_02_831</t>
  </si>
  <si>
    <t>PRE_a2_12_05_2025 - ma_ca_1996_09_14_696</t>
  </si>
  <si>
    <t>PRE_a2_12_05_2025 - se_co_1998_04_24_910</t>
  </si>
  <si>
    <t>PRE_a2_14_04_2025 - ad_pa_2006_01_27_630</t>
  </si>
  <si>
    <t>PRE_a2_14_04_2025 - ag_te_2004_05_26_499</t>
  </si>
  <si>
    <t>PRE_a2_14_04_2025 - al_bo_2002_07_25_563</t>
  </si>
  <si>
    <t>PRE_a2_14_04_2025 - al_ca_2001_02_11_269</t>
  </si>
  <si>
    <t>PRE_a2_14_04_2025 - al_lo_1999_09_19_127</t>
  </si>
  <si>
    <t>PRE_a2_14_04_2025 - al_mi_2004_04_28_724</t>
  </si>
  <si>
    <t>PRE_a2_14_04_2025 - al_mo_2005_10_03_273</t>
  </si>
  <si>
    <t>PRE_a2_14_04_2025 - al_pe_2001_04_20_079</t>
  </si>
  <si>
    <t>PRE_a2_14_04_2025 - al_va_2004_12_16_206</t>
  </si>
  <si>
    <t>PRE_a2_14_04_2025 - am_bo_1988_08_24_166</t>
  </si>
  <si>
    <t>PRE_a2_14_04_2025 - am_or_2005_07_19_155_ONLY_VOWELS</t>
  </si>
  <si>
    <t>PRE_a2_14_04_2025 - an_ba_2001_12_27_169</t>
  </si>
  <si>
    <t>PRE_a2_14_04_2025 - an_ca_2002_02_24_956</t>
  </si>
  <si>
    <t>PRE_a2_14_04_2025 - an_pu_2004_12_28_073</t>
  </si>
  <si>
    <t>PRE_a2_14_04_2025 - an_ra_2004_06_07_770</t>
  </si>
  <si>
    <t>PRE_a2_14_04_2025 - ar_br_2001_08_21_449</t>
  </si>
  <si>
    <t>PRE_a2_14_04_2025 - ar_se_2005_06_30_070</t>
  </si>
  <si>
    <t>PRE_a2_14_04_2025 - as_li_2005_04_26_447</t>
  </si>
  <si>
    <t>PRE_a2_14_04_2025 - as_ri_2004_07_30_783</t>
  </si>
  <si>
    <t>PRE_a2_14_04_2025 - as_st_2005_11_28_811</t>
  </si>
  <si>
    <t>PRE_a2_14_04_2025 - au_lo_2005_04_04_587</t>
  </si>
  <si>
    <t>PRE_a2_14_04_2025 - au_ri_2004_02_19_848</t>
  </si>
  <si>
    <t>PRE_a2_14_04_2025 - au_te_2005_05_22_789</t>
  </si>
  <si>
    <t>PRE_a2_14_04_2025 - az_sa_2004_04_06_567</t>
  </si>
  <si>
    <t>PRE_a2_14_04_2025 - be_ra_2005_06_09_810</t>
  </si>
  <si>
    <t>PRE_a2_14_04_2025 - bi_za_2005_02_22_631</t>
  </si>
  <si>
    <t>PRE_a2_14_04_2025 - ca_ba_1999_03_11_977</t>
  </si>
  <si>
    <t>PRE_a2_14_04_2025 - ca_mu_2005_04_28_047</t>
  </si>
  <si>
    <t>PRE_a2_14_04_2025 - ca_pa_2005_04_20_282</t>
  </si>
  <si>
    <t>PRE_a2_14_04_2025 - ca_po_2005_11_08_041</t>
  </si>
  <si>
    <t>PRE_a2_14_04_2025 - ca_ro_2004_09_03_927</t>
  </si>
  <si>
    <t>PRE_a2_14_04_2025 - ca_ur_2005_01_27_051</t>
  </si>
  <si>
    <t>PRE_a2_14_04_2025 - ch_ar_1987_08_23_929</t>
  </si>
  <si>
    <t>PRE_a2_14_04_2025 - ch_ar_2000_08_08_388</t>
  </si>
  <si>
    <t>PRE_a2_14_04_2025 - ch_bi_2001_01_28_407</t>
  </si>
  <si>
    <t>PRE_a2_14_04_2025 - ch_bl_2001_09_25_360</t>
  </si>
  <si>
    <t>PRE_a2_14_04_2025 - ch_ch_1999_10_05_790</t>
  </si>
  <si>
    <t>PRE_a2_14_04_2025 - ch_fa_1992_09_30_085</t>
  </si>
  <si>
    <t>PRE_a2_14_04_2025 - ch_mo_2005_07_21_173</t>
  </si>
  <si>
    <t>PRE_a2_14_04_2025 - ch_pr_2005_04_08_406</t>
  </si>
  <si>
    <t>PRE_a2_14_04_2025 - ch_ta_2005_12_03_835</t>
  </si>
  <si>
    <t>PRE_a2_14_04_2025 - cl_bo_1987_10_16_628</t>
  </si>
  <si>
    <t>PRE_a2_14_04_2025 - cl_de_1999_11_04_085</t>
  </si>
  <si>
    <t>PRE_a2_14_04_2025 - cl_ra_2005_06_17_016</t>
  </si>
  <si>
    <t>PRE_a2_14_04_2025 - da_ba_1996_03_25_685</t>
  </si>
  <si>
    <t>PRE_a2_14_04_2025 - el_br_2002_07_12_207</t>
  </si>
  <si>
    <t>PRE_a2_14_04_2025 - el_fi_2000_06_25_140</t>
  </si>
  <si>
    <t>PRE_a2_14_04_2025 - el_lu_2005_12_21_023</t>
  </si>
  <si>
    <t>PRE_a2_14_04_2025 - el_pa_2005_03_01_796</t>
  </si>
  <si>
    <t>PRE_a2_14_04_2025 - el_pa_2005_08_14_772</t>
  </si>
  <si>
    <t>PRE_a2_14_04_2025 - el_ro_1992_05_28_005</t>
  </si>
  <si>
    <t>PRE_a2_14_04_2025 - el_sa_2005_06_30_005</t>
  </si>
  <si>
    <t>PRE_a2_14_04_2025 - el_sp_2004_08_03_826</t>
  </si>
  <si>
    <t>PRE_a2_14_04_2025 - em_di_2000_04_26_182</t>
  </si>
  <si>
    <t>PRE_a2_14_04_2025 - ev_tu_2004_10_06_265</t>
  </si>
  <si>
    <t>PRE_a2_14_04_2025 - fa_ca_2001_08_09_201</t>
  </si>
  <si>
    <t>PRE_a2_14_04_2025 - fe_gi_1999_08_28_709</t>
  </si>
  <si>
    <t>PRE_a2_14_04_2025 - fr_ba_2001_12_15_595</t>
  </si>
  <si>
    <t>PRE_a2_14_04_2025 - fr_di_2002_05_11_518</t>
  </si>
  <si>
    <t>PRE_a2_14_04_2025 - fr_ga_1998_02_14_859</t>
  </si>
  <si>
    <t>PRE_a2_14_04_2025 - fr_pa_2005_07_15_344</t>
  </si>
  <si>
    <t>PRE_a2_14_04_2025 - ga_ba_2002_06_06_822</t>
  </si>
  <si>
    <t>PRE_a2_14_04_2025 - ga_sa_2005_04_30_467</t>
  </si>
  <si>
    <t>PRE_a2_14_04_2025 - gi_ca_1995_01_27_425</t>
  </si>
  <si>
    <t>PRE_a2_14_04_2025 - gi_ga_2001_03_16_540</t>
  </si>
  <si>
    <t>PRE_a2_14_04_2025 - gi_la_2005_03_15_562</t>
  </si>
  <si>
    <t>PRE_a2_14_04_2025 - gi_lo_2004_06_27_237</t>
  </si>
  <si>
    <t>PRE_a2_14_04_2025 - gi_ma_2004_01_10_447</t>
  </si>
  <si>
    <t>PRE_a2_14_04_2025 - gi_ma_2006_01_06_210</t>
  </si>
  <si>
    <t>PRE_a2_14_04_2025 - gi_me_2005_07_26_290</t>
  </si>
  <si>
    <t>PRE_a2_14_04_2025 - gi_ro_2004_07_30_589</t>
  </si>
  <si>
    <t>PRE_a2_14_04_2025 - gi_ru_2005_03_08_033</t>
  </si>
  <si>
    <t>PRE_a2_14_04_2025 - gi_so_2005_09_11_398</t>
  </si>
  <si>
    <t>PRE_a2_14_04_2025 - gi_to_2004_06_25_982</t>
  </si>
  <si>
    <t>PRE_a2_14_04_2025 - gi_tr_2005_09_08_335</t>
  </si>
  <si>
    <t>PRE_a2_14_04_2025 - gr_pe_2005_11_17_273</t>
  </si>
  <si>
    <t>PRE_a2_14_04_2025 - hi_na_2005_03_08_339</t>
  </si>
  <si>
    <t>PRE_a2_14_04_2025 - il_le_2005_11_13_728</t>
  </si>
  <si>
    <t>PRE_a2_14_04_2025 - il_re_2006_01_18_645</t>
  </si>
  <si>
    <t>PRE_a2_14_04_2025 - ir_ma_2004_10_19_669</t>
  </si>
  <si>
    <t>PRE_a2_14_04_2025 - ir_sa_2005_07_04_464</t>
  </si>
  <si>
    <t>PRE_a2_14_04_2025 - ir_te_2005_12_19_790</t>
  </si>
  <si>
    <t>PRE_a2_14_04_2025 - je_le_2005_12_23_699</t>
  </si>
  <si>
    <t>PRE_a2_14_04_2025 - je_ma_2005_01_13_962</t>
  </si>
  <si>
    <t>PRE_a2_14_04_2025 - la_fi_2000_01_21_047</t>
  </si>
  <si>
    <t>PRE_a2_14_04_2025 - la_ma_2004_05_16_992</t>
  </si>
  <si>
    <t>PRE_a2_14_04_2025 - la_ma_2006_01_31_787</t>
  </si>
  <si>
    <t>PRE_a2_14_04_2025 - la_pe_2005_12_15_770</t>
  </si>
  <si>
    <t>PRE_a2_14_04_2025 - le_du_2003_03_30_117</t>
  </si>
  <si>
    <t>PRE_a2_14_04_2025 - li_se_2005_11_04_636</t>
  </si>
  <si>
    <t>PRE_a2_14_04_2025 - lu_ma_2005_11_04_366</t>
  </si>
  <si>
    <t>PRE_a2_14_04_2025 - ly_vi_2005_11_24_863</t>
  </si>
  <si>
    <t>PRE_a2_14_04_2025 - ma_fa_2000_06_25_721</t>
  </si>
  <si>
    <t>PRE_a2_14_04_2025 - ma_ie_2000_07_31_515</t>
  </si>
  <si>
    <t>PRE_a2_14_04_2025 - ma_lo_2005_06_26_262</t>
  </si>
  <si>
    <t>PRE_a2_14_04_2025 - ma_ma_2004_10_11_947</t>
  </si>
  <si>
    <t>PRE_a2_14_04_2025 - ma_ma_2005_05_18_423</t>
  </si>
  <si>
    <t>PRE_a2_14_04_2025 - ma_ma_2006_04_14_979</t>
  </si>
  <si>
    <t>PRE_a2_14_04_2025 - ma_mo_2005_03_08_142</t>
  </si>
  <si>
    <t>PRE_a2_14_04_2025 - ma_mo_2006_01_19_745</t>
  </si>
  <si>
    <t>PRE_a2_14_04_2025 - ma_pe_2005_09_29_691</t>
  </si>
  <si>
    <t>PRE_a2_14_04_2025 - ma_pi_2004_12_22_169</t>
  </si>
  <si>
    <t>PRE_a2_14_04_2025 - ma_ro_2004_01_18_699</t>
  </si>
  <si>
    <t>PRE_a2_14_04_2025 - ma_ro_2005_05_30_806</t>
  </si>
  <si>
    <t>PRE_a2_14_04_2025 - ma_ro_2005_07_29_713</t>
  </si>
  <si>
    <t>PRE_a2_14_04_2025 - ma_sa_2005_01_31_124</t>
  </si>
  <si>
    <t>PRE_a2_14_04_2025 - ma_si_2003_10_31_940</t>
  </si>
  <si>
    <t>PRE_a2_14_04_2025 - ma_ta_2006_01_28_997</t>
  </si>
  <si>
    <t>PRE_a2_14_04_2025 - ma_ti_2006_01_05_815</t>
  </si>
  <si>
    <t>PRE_a2_14_04_2025 - ma_va_2005_03_05_742</t>
  </si>
  <si>
    <t>PRE_a2_14_04_2025 - ma_za_2004_06_10_668</t>
  </si>
  <si>
    <t>PRE_a2_14_04_2025 - ni_ru_2004_05_20_372</t>
  </si>
  <si>
    <t>PRE_a2_14_04_2025 - no_bi_2001_04_24_039</t>
  </si>
  <si>
    <t>PRE_a2_14_04_2025 - no_un_2005_06_29_880</t>
  </si>
  <si>
    <t>PRE_a2_14_04_2025 - pa_po_2005_02_13_810</t>
  </si>
  <si>
    <t>PRE_a2_14_04_2025 - ra_pe_2005_02_25_938</t>
  </si>
  <si>
    <t>PRE_a2_14_04_2025 - re_ma_2005_11_25_490</t>
  </si>
  <si>
    <t>PRE_a2_14_04_2025 - ro_br_1995_10_30_057</t>
  </si>
  <si>
    <t>PRE_a2_14_04_2025 - sa_ol_2004_06_21_909</t>
  </si>
  <si>
    <t>PRE_a2_14_04_2025 - sa_pa_2005_06_03_918</t>
  </si>
  <si>
    <t>PRE_a2_14_04_2025 - si_co_2002_08_13_884</t>
  </si>
  <si>
    <t>PRE_a2_14_04_2025 - so_fa_1999_11_16_426</t>
  </si>
  <si>
    <t>PRE_a2_14_04_2025 - so_nu_2005_03_11_255</t>
  </si>
  <si>
    <t>PRE_a2_14_04_2025 - so_pa_2005_04_02_152</t>
  </si>
  <si>
    <t>PRE_a2_14_04_2025 - so_ru_2006_02_08_848</t>
  </si>
  <si>
    <t>PRE_a2_14_04_2025 - so_vi_2004_10_14_130</t>
  </si>
  <si>
    <t>PRE_a2_14_04_2025 - so_vi_2006_01_30_222</t>
  </si>
  <si>
    <t>PRE_a2_14_04_2025 - te_li_2005_06_12_911</t>
  </si>
  <si>
    <t>PRE_a2_14_04_2025 - va_li_2004_04_15_257</t>
  </si>
  <si>
    <t>PRE_a2_14_04_2025 - va_ma_2005_05_31_567</t>
  </si>
  <si>
    <t>PRE_a2_14_04_2025 - vi_ma_2004_06_14_505</t>
  </si>
  <si>
    <t>PRE_a2_14_04_2025 - vi_pi_2005_08_23_271</t>
  </si>
  <si>
    <t>PRE_a2_21_05_2025 - al_sc_2000_09_09_522</t>
  </si>
  <si>
    <t>PRE_a2_21_05_2025 - ca_te_2005_07_04_549_ONLY_VOWELS</t>
  </si>
  <si>
    <t>PRE_a2_21_05_2025 - cl_me_2004_10_20_681</t>
  </si>
  <si>
    <t>PRE_a2_25_05_2025 - ke_zh_2005_05_28_685</t>
  </si>
  <si>
    <t>POST_a2_13_05_2025 - as_gr_2000_07_17_648</t>
  </si>
  <si>
    <t>POST_a2_13_05_2025 - el_sp_2000_08_09_356_ONLY_VOWELS</t>
  </si>
  <si>
    <t>POST_a2_13_05_2025 - gi_mo_2000_12_02_831</t>
  </si>
  <si>
    <t>POST_a2_13_05_2025 - ma_ca_1996_09_14_696</t>
  </si>
  <si>
    <t>POST_a2_13_05_2025 - se_co_1998_04_24_910</t>
  </si>
  <si>
    <t>POST_a2_15_04_2025 - ad_pa_2006_01_27_630</t>
  </si>
  <si>
    <t>POST_a2_15_04_2025 - ag_te_2004_05_26_499</t>
  </si>
  <si>
    <t>POST_a2_15_04_2025 - al_bo_2002_07_25_563</t>
  </si>
  <si>
    <t>POST_a2_15_04_2025 - al_ca_2001_02_11_269</t>
  </si>
  <si>
    <t>POST_a2_15_04_2025 - al_lo_1999_09_19_127</t>
  </si>
  <si>
    <t>POST_a2_15_04_2025 - al_mi_2004_04_28_724</t>
  </si>
  <si>
    <t>POST_a2_15_04_2025 - al_mo_2005_10_03_273</t>
  </si>
  <si>
    <t>POST_a2_15_04_2025 - al_pe_2001_04_20_079</t>
  </si>
  <si>
    <t>POST_a2_15_04_2025 - al_sc_2000_09_09_522</t>
  </si>
  <si>
    <t>POST_a2_15_04_2025 - al_va_2004_12_16_206</t>
  </si>
  <si>
    <t>POST_a2_15_04_2025 - am_bo_1988_08_24_166</t>
  </si>
  <si>
    <t>POST_a2_15_04_2025 - am_or_2005_07_19_155</t>
  </si>
  <si>
    <t>POST_a2_15_04_2025 - an_ba_2001_12_27_169_ONLY_VOWELS</t>
  </si>
  <si>
    <t>POST_a2_15_04_2025 - an_ca_2002_02_24_956</t>
  </si>
  <si>
    <t>POST_a2_15_04_2025 - an_pu_2004_12_28_073</t>
  </si>
  <si>
    <t>POST_a2_15_04_2025 - ar_br_2001_08_21_449</t>
  </si>
  <si>
    <t>POST_a2_15_04_2025 - ar_se_2005_06_30_070</t>
  </si>
  <si>
    <t>POST_a2_15_04_2025 - as_li_2005_04_26_447</t>
  </si>
  <si>
    <t>POST_a2_15_04_2025 - as_ri_2004_07_30_783</t>
  </si>
  <si>
    <t>POST_a2_15_04_2025 - as_st_2005_11_28_811</t>
  </si>
  <si>
    <t>POST_a2_15_04_2025 - au_lo_2005_04_04_587</t>
  </si>
  <si>
    <t>POST_a2_15_04_2025 - au_ri_2004_02_19_848</t>
  </si>
  <si>
    <t>POST_a2_15_04_2025 - au_te_2005_05_22_789</t>
  </si>
  <si>
    <t>POST_a2_15_04_2025 - az_sa_2004_04_06_567</t>
  </si>
  <si>
    <t>POST_a2_15_04_2025 - be_ra_2005_06_09_810</t>
  </si>
  <si>
    <t>POST_a2_15_04_2025 - bi_za_2005_02_22_631</t>
  </si>
  <si>
    <t>POST_a2_15_04_2025 - ca_ba_1999_03_11_977</t>
  </si>
  <si>
    <t>POST_a2_15_04_2025 - ca_mu_2005_04_28_047</t>
  </si>
  <si>
    <t>POST_a2_15_04_2025 - ca_pa_2005_04_20_282</t>
  </si>
  <si>
    <t>POST_a2_15_04_2025 - ca_po_2005_11_08_041</t>
  </si>
  <si>
    <t>POST_a2_15_04_2025 - ca_ro_2004_09_03_927</t>
  </si>
  <si>
    <t>POST_a2_15_04_2025 - ca_te_2005_07_04_549</t>
  </si>
  <si>
    <t>POST_a2_15_04_2025 - ca_ur_2005_01_27_051</t>
  </si>
  <si>
    <t>POST_a2_15_04_2025 - ch_ar_1987_08_23_929</t>
  </si>
  <si>
    <t>POST_a2_15_04_2025 - ch_ar_2000_08_08_388</t>
  </si>
  <si>
    <t>POST_a2_15_04_2025 - ch_bi_2001_01_28_407</t>
  </si>
  <si>
    <t>POST_a2_15_04_2025 - ch_bl_2001_09_25_360</t>
  </si>
  <si>
    <t>POST_a2_15_04_2025 - ch_ch_1999_10_05_790</t>
  </si>
  <si>
    <t>POST_a2_15_04_2025 - ch_fa_1992_09_30_085</t>
  </si>
  <si>
    <t>POST_a2_15_04_2025 - ch_mo_2005_07_21_173</t>
  </si>
  <si>
    <t>POST_a2_15_04_2025 - ch_pr_2005_04_08_406</t>
  </si>
  <si>
    <t>POST_a2_15_04_2025 - ch_ta_2005_12_03_835</t>
  </si>
  <si>
    <t>POST_a2_15_04_2025 - cl_de_1999_11_04_085</t>
  </si>
  <si>
    <t>POST_a2_15_04_2025 - cl_me_2004_10_20_681</t>
  </si>
  <si>
    <t>POST_a2_15_04_2025 - cl_ra_2005_06_17_016</t>
  </si>
  <si>
    <t>POST_a2_15_04_2025 - da_ba_1996_03_25_685_ONLY_VOWELS</t>
  </si>
  <si>
    <t>POST_a2_15_04_2025 - el_br_2002_07_12_207</t>
  </si>
  <si>
    <t>POST_a2_15_04_2025 - el_fi_2000_06_25_140</t>
  </si>
  <si>
    <t>POST_a2_15_04_2025 - el_lu_2005_12_21_023</t>
  </si>
  <si>
    <t>POST_a2_15_04_2025 - el_pa_2005_03_01_796</t>
  </si>
  <si>
    <t>POST_a2_15_04_2025 - el_pa_2005_08_14_772</t>
  </si>
  <si>
    <t>POST_a2_15_04_2025 - el_ro_1992_05_28_005</t>
  </si>
  <si>
    <t>POST_a2_15_04_2025 - el_sa_2005_06_30_005</t>
  </si>
  <si>
    <t>POST_a2_15_04_2025 - el_sp_2004_08_03_826</t>
  </si>
  <si>
    <t>POST_a2_15_04_2025 - em_di_2000_04_26_182</t>
  </si>
  <si>
    <t>POST_a2_15_04_2025 - ev_tu_2004_10_06_265</t>
  </si>
  <si>
    <t>POST_a2_15_04_2025 - fa_ca_2001_08_09_201</t>
  </si>
  <si>
    <t>POST_a2_15_04_2025 - fe_gi_1999_08_28_709</t>
  </si>
  <si>
    <t>POST_a2_15_04_2025 - fr_ba_2001_12_15_595</t>
  </si>
  <si>
    <t>POST_a2_15_04_2025 - fr_di_2002_05_11_518</t>
  </si>
  <si>
    <t>POST_a2_15_04_2025 - fr_ga_1998_02_14_859</t>
  </si>
  <si>
    <t>POST_a2_15_04_2025 - fr_pa_2005_07_15_344</t>
  </si>
  <si>
    <t>POST_a2_15_04_2025 - ga_ba_2002_06_06_822</t>
  </si>
  <si>
    <t>POST_a2_15_04_2025 - ga_sa_2005_04_30_467</t>
  </si>
  <si>
    <t>POST_a2_15_04_2025 - gi_ca_1995_01_27_425</t>
  </si>
  <si>
    <t>POST_a2_15_04_2025 - gi_ga_2001_03_16_540</t>
  </si>
  <si>
    <t>POST_a2_15_04_2025 - gi_la_2005_03_15_562</t>
  </si>
  <si>
    <t>POST_a2_15_04_2025 - gi_lo_2004_06_27_237_ONLY_VOWELS</t>
  </si>
  <si>
    <t>POST_a2_15_04_2025 - gi_ma_2004_01_10_447</t>
  </si>
  <si>
    <t>POST_a2_15_04_2025 - gi_ma_2006_01_06_210</t>
  </si>
  <si>
    <t>POST_a2_15_04_2025 - gi_me_2005_07_26_290</t>
  </si>
  <si>
    <t>POST_a2_15_04_2025 - gi_ro_2004_07_30_589</t>
  </si>
  <si>
    <t>POST_a2_15_04_2025 - gi_ru_2005_03_08_033</t>
  </si>
  <si>
    <t>POST_a2_15_04_2025 - gi_so_2005_09_11_398</t>
  </si>
  <si>
    <t>POST_a2_15_04_2025 - gi_to_2004_06_25_982</t>
  </si>
  <si>
    <t>POST_a2_15_04_2025 - gi_tr_2005_09_08_335</t>
  </si>
  <si>
    <t>POST_a2_15_04_2025 - gr_pe_2005_11_17_273</t>
  </si>
  <si>
    <t>POST_a2_15_04_2025 - hi_na_2005_03_08_339</t>
  </si>
  <si>
    <t>POST_a2_15_04_2025 - il_le_2005_11_13_728</t>
  </si>
  <si>
    <t>POST_a2_15_04_2025 - il_re_2006_01_18_645</t>
  </si>
  <si>
    <t>POST_a2_15_04_2025 - ir_ma_2004_10_19_669</t>
  </si>
  <si>
    <t>POST_a2_15_04_2025 - ir_sa_2005_07_04_464</t>
  </si>
  <si>
    <t>POST_a2_15_04_2025 - ir_te_2005_12_19_790</t>
  </si>
  <si>
    <t>POST_a2_15_04_2025 - je_le_2005_12_23_699</t>
  </si>
  <si>
    <t>POST_a2_15_04_2025 - je_ma_2005_01_13_962</t>
  </si>
  <si>
    <t>POST_a2_15_04_2025 - la_fi_2000_01_21_047</t>
  </si>
  <si>
    <t>POST_a2_15_04_2025 - la_ma_2004_05_16_992</t>
  </si>
  <si>
    <t>POST_a2_15_04_2025 - la_ma_2006_01_31_787</t>
  </si>
  <si>
    <t>POST_a2_15_04_2025 - la_pe_2005_12_15_770</t>
  </si>
  <si>
    <t>POST_a2_15_04_2025 - le_du_2003_03_30_117</t>
  </si>
  <si>
    <t>POST_a2_15_04_2025 - li_se_2005_11_04_636</t>
  </si>
  <si>
    <t>POST_a2_15_04_2025 - lu_ma_2005_11_04_366</t>
  </si>
  <si>
    <t>POST_a2_15_04_2025 - ly_vi_2005_11_24_863</t>
  </si>
  <si>
    <t>POST_a2_15_04_2025 - ma_fa_2000_06_25_721</t>
  </si>
  <si>
    <t>POST_a2_15_04_2025 - ma_ie_2000_07_31_515</t>
  </si>
  <si>
    <t>POST_a2_15_04_2025 - ma_lo_2005_06_26_262</t>
  </si>
  <si>
    <t>POST_a2_15_04_2025 - ma_ma_2004_10_11_947</t>
  </si>
  <si>
    <t>POST_a2_15_04_2025 - ma_ma_2005_05_18_423</t>
  </si>
  <si>
    <t>POST_a2_15_04_2025 - ma_ma_2006_04_14_979</t>
  </si>
  <si>
    <t>POST_a2_15_04_2025 - ma_mo_2005_03_08_142</t>
  </si>
  <si>
    <t>POST_a2_15_04_2025 - ma_mo_2006_01_19_745</t>
  </si>
  <si>
    <t>POST_a2_15_04_2025 - ma_pe_2005_09_29_691</t>
  </si>
  <si>
    <t>POST_a2_15_04_2025 - ma_pi_2004_12_22_169</t>
  </si>
  <si>
    <t>POST_a2_15_04_2025 - ma_ro_2004_01_18_699</t>
  </si>
  <si>
    <t>POST_a2_15_04_2025 - ma_ro_2005_05_30_806</t>
  </si>
  <si>
    <t>POST_a2_15_04_2025 - ma_ro_2005_07_29_713</t>
  </si>
  <si>
    <t>POST_a2_15_04_2025 - ma_sa_2005_01_31_124</t>
  </si>
  <si>
    <t>POST_a2_15_04_2025 - ma_si_2003_10_31_940</t>
  </si>
  <si>
    <t>POST_a2_15_04_2025 - ma_ta_2006_01_28_997</t>
  </si>
  <si>
    <t>POST_a2_15_04_2025 - ma_ti_2006_01_05_815</t>
  </si>
  <si>
    <t>POST_a2_15_04_2025 - ma_va_2005_03_05_742</t>
  </si>
  <si>
    <t>POST_a2_15_04_2025 - ma_za_2004_06_10_668</t>
  </si>
  <si>
    <t>POST_a2_15_04_2025 - ni_ru_2004_05_20_372</t>
  </si>
  <si>
    <t>POST_a2_15_04_2025 - no_bi_2001_04_24_039</t>
  </si>
  <si>
    <t>POST_a2_15_04_2025 - no_un_2005_06_29_880</t>
  </si>
  <si>
    <t>POST_a2_15_04_2025 - ra_pe_2005_02_25_938</t>
  </si>
  <si>
    <t>POST_a2_15_04_2025 - re_ma_2005_11_25_490</t>
  </si>
  <si>
    <t>POST_a2_15_04_2025 - ro_br_1995_10_30_057</t>
  </si>
  <si>
    <t>POST_a2_15_04_2025 - sa_ol_2004_06_21_909</t>
  </si>
  <si>
    <t>POST_a2_15_04_2025 - sa_pa_2005_06_03_918</t>
  </si>
  <si>
    <t>POST_a2_15_04_2025 - si_co_2002_08_13_884</t>
  </si>
  <si>
    <t>POST_a2_15_04_2025 - so_fa_1999_11_16_426</t>
  </si>
  <si>
    <t>POST_a2_15_04_2025 - so_nu_2005_03_11_255</t>
  </si>
  <si>
    <t>POST_a2_15_04_2025 - so_pa_2005_04_02_152</t>
  </si>
  <si>
    <t>POST_a2_15_04_2025 - so_ru_2006_02_08_848</t>
  </si>
  <si>
    <t>POST_a2_15_04_2025 - so_vi_2004_10_14_130_ONLY_VOWELS</t>
  </si>
  <si>
    <t>POST_a2_15_04_2025 - so_vi_2006_01_30_222</t>
  </si>
  <si>
    <t>POST_a2_15_04_2025 - te_li_2005_06_12_911</t>
  </si>
  <si>
    <t>POST_a2_15_04_2025 - va_li_2004_04_15_257</t>
  </si>
  <si>
    <t>POST_a2_15_04_2025 - va_ma_2005_05_31_567</t>
  </si>
  <si>
    <t>POST_a2_15_04_2025 - vi_ma_2004_06_14_505</t>
  </si>
  <si>
    <t>POST_a2_15_04_2025 - vi_pi_2005_08_23_271</t>
  </si>
  <si>
    <t>POST_a2_16_05_2025 - ke_zh_2005_05_28_685</t>
  </si>
  <si>
    <t>POST_a2_22_05_2025 - an_ra_2004_06_07_770</t>
  </si>
  <si>
    <t>POST_a2_22_05_2025 - pa_po_2005_02_13_810</t>
  </si>
  <si>
    <t>POST_a2_26_05_2025 - cl_bo_1987_10_16_628</t>
  </si>
  <si>
    <t>ID</t>
  </si>
  <si>
    <t>Data</t>
  </si>
  <si>
    <t>pid5_negative_affectivity</t>
  </si>
  <si>
    <t>pid5_detachment</t>
  </si>
  <si>
    <t>pid5_antagonism</t>
  </si>
  <si>
    <t>pid5_disinhibition</t>
  </si>
  <si>
    <t>pid5_psychoticism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</si>
</sst>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42"/>
  <sheetViews>
    <sheetView topLeftCell="BB1" workbookViewId="0">
      <selection activeCell="CB1" sqref="CB1:CF1048576"/>
    </sheetView>
  </sheetViews>
  <sheetFormatPr defaultRowHeight="14.5" x14ac:dyDescent="0.35"/>
  <cols>
    <col min="1" max="1" width="55.26953125" bestFit="1" customWidth="1"/>
    <col min="2" max="3" width="22.1796875" customWidth="1"/>
    <col min="80" max="84" width="22.1796875" customWidth="1"/>
  </cols>
  <sheetData>
    <row r="1" spans="1:84" x14ac:dyDescent="0.35">
      <c r="A1" t="s">
        <v>0</v>
      </c>
      <c r="B1" t="s">
        <v>552</v>
      </c>
      <c r="C1" t="s">
        <v>553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554</v>
      </c>
      <c r="CC1" t="s">
        <v>555</v>
      </c>
      <c r="CD1" t="s">
        <v>556</v>
      </c>
      <c r="CE1" t="s">
        <v>557</v>
      </c>
      <c r="CF1" t="s">
        <v>558</v>
      </c>
    </row>
    <row r="2" spans="1:84" x14ac:dyDescent="0.35">
      <c r="A2" t="s">
        <v>79</v>
      </c>
      <c r="B2" t="str">
        <f t="shared" ref="B2:B33" si="0">_xlfn.TEXTAFTER(A2,"-")</f>
        <v xml:space="preserve"> ad_pa_2006_01_27_630</v>
      </c>
      <c r="C2" s="1">
        <f t="shared" ref="C2:C33" si="1">DATEVALUE(SUBSTITUTE(_xlfn.TEXTAFTER(_xlfn.TEXTBEFORE(A2," -"),"a2_"),"_","/"))</f>
        <v>45748</v>
      </c>
      <c r="D2" t="s">
        <v>78</v>
      </c>
      <c r="E2">
        <v>187.495</v>
      </c>
      <c r="F2">
        <v>187.60300000000001</v>
      </c>
      <c r="G2">
        <v>2.351</v>
      </c>
      <c r="H2">
        <v>179.79</v>
      </c>
      <c r="I2">
        <v>2.5757575757575757E-2</v>
      </c>
      <c r="J2">
        <v>192.33600000000001</v>
      </c>
      <c r="K2">
        <v>0.72310606060606053</v>
      </c>
      <c r="L2">
        <v>0.59699999999999998</v>
      </c>
      <c r="M2">
        <v>-23.699000000000002</v>
      </c>
      <c r="N2">
        <v>555.13599999999997</v>
      </c>
      <c r="O2">
        <v>555.13599999999997</v>
      </c>
      <c r="P2">
        <v>55.097000000000001</v>
      </c>
      <c r="Q2">
        <v>399.69799999999998</v>
      </c>
      <c r="R2">
        <v>932.62800000000004</v>
      </c>
      <c r="S2">
        <v>1234.6990000000001</v>
      </c>
      <c r="T2">
        <v>1243.5050000000001</v>
      </c>
      <c r="U2">
        <v>38.055</v>
      </c>
      <c r="V2">
        <v>1154.683</v>
      </c>
      <c r="W2">
        <v>1421.1479999999999</v>
      </c>
      <c r="X2">
        <v>2472.4609999999998</v>
      </c>
      <c r="Y2">
        <v>2398.1869999999999</v>
      </c>
      <c r="Z2">
        <v>226.738</v>
      </c>
      <c r="AA2">
        <v>2176.1329999999998</v>
      </c>
      <c r="AB2">
        <v>3241.9940000000001</v>
      </c>
      <c r="AC2">
        <v>2.64</v>
      </c>
      <c r="AD2">
        <v>188.833</v>
      </c>
      <c r="AE2">
        <v>188.80699999999999</v>
      </c>
      <c r="AF2">
        <v>2.2709999999999999</v>
      </c>
      <c r="AG2">
        <v>181.69499999999999</v>
      </c>
      <c r="AH2">
        <v>3.461538461538461E-2</v>
      </c>
      <c r="AI2">
        <v>201.37</v>
      </c>
      <c r="AJ2">
        <v>0</v>
      </c>
      <c r="AK2">
        <v>0.44900000000000001</v>
      </c>
      <c r="AL2">
        <v>-27.481999999999999</v>
      </c>
      <c r="AM2">
        <v>340.75099999999998</v>
      </c>
      <c r="AN2">
        <v>360.36799999999999</v>
      </c>
      <c r="AO2">
        <v>22.516999999999999</v>
      </c>
      <c r="AP2">
        <v>315.322</v>
      </c>
      <c r="AQ2">
        <v>360.36799999999999</v>
      </c>
      <c r="AR2">
        <v>2285.4899999999998</v>
      </c>
      <c r="AS2">
        <v>2297.3440000000001</v>
      </c>
      <c r="AT2">
        <v>106.033</v>
      </c>
      <c r="AU2">
        <v>1982.0219999999999</v>
      </c>
      <c r="AV2">
        <v>2477.5279999999998</v>
      </c>
      <c r="AW2">
        <v>3535.72</v>
      </c>
      <c r="AX2">
        <v>3513.585</v>
      </c>
      <c r="AY2">
        <v>191.80500000000001</v>
      </c>
      <c r="AZ2">
        <v>3153.2179999999998</v>
      </c>
      <c r="BA2">
        <v>3964.0450000000001</v>
      </c>
      <c r="BB2">
        <v>2.6</v>
      </c>
      <c r="BC2">
        <v>191.20400000000001</v>
      </c>
      <c r="BD2">
        <v>189.73599999999999</v>
      </c>
      <c r="BE2">
        <v>15.715</v>
      </c>
      <c r="BF2">
        <v>178.233</v>
      </c>
      <c r="BG2">
        <v>0.98409090909090902</v>
      </c>
      <c r="BH2">
        <v>315</v>
      </c>
      <c r="BI2">
        <v>9.9999999999999985E-3</v>
      </c>
      <c r="BJ2">
        <v>1.141</v>
      </c>
      <c r="BK2">
        <v>-20.007999999999999</v>
      </c>
      <c r="BL2">
        <v>361.88499999999999</v>
      </c>
      <c r="BM2">
        <v>369.42399999999998</v>
      </c>
      <c r="BN2">
        <v>23.623999999999999</v>
      </c>
      <c r="BO2">
        <v>323.24599999999998</v>
      </c>
      <c r="BP2">
        <v>507.95800000000003</v>
      </c>
      <c r="BQ2">
        <v>1189.5219999999999</v>
      </c>
      <c r="BR2">
        <v>1200.6279999999999</v>
      </c>
      <c r="BS2">
        <v>77.98</v>
      </c>
      <c r="BT2">
        <v>1062.0940000000001</v>
      </c>
      <c r="BU2">
        <v>1477.6959999999999</v>
      </c>
      <c r="BV2">
        <v>2893.0520000000001</v>
      </c>
      <c r="BW2">
        <v>2863.0369999999998</v>
      </c>
      <c r="BX2">
        <v>132.47399999999999</v>
      </c>
      <c r="BY2">
        <v>2585.9690000000001</v>
      </c>
      <c r="BZ2">
        <v>3278.6390000000001</v>
      </c>
      <c r="CA2">
        <v>2.2000000000000002</v>
      </c>
      <c r="CB2">
        <v>0</v>
      </c>
      <c r="CC2">
        <v>0</v>
      </c>
      <c r="CD2">
        <v>1</v>
      </c>
      <c r="CE2">
        <v>2</v>
      </c>
      <c r="CF2">
        <v>0</v>
      </c>
    </row>
    <row r="3" spans="1:84" x14ac:dyDescent="0.35">
      <c r="A3" t="s">
        <v>134</v>
      </c>
      <c r="B3" t="str">
        <f t="shared" si="0"/>
        <v xml:space="preserve"> ag_te_2004_05_26_499</v>
      </c>
      <c r="C3" s="1">
        <f t="shared" si="1"/>
        <v>45751</v>
      </c>
      <c r="D3" t="s">
        <v>78</v>
      </c>
      <c r="E3">
        <v>213.983</v>
      </c>
      <c r="F3">
        <v>214.00399999999999</v>
      </c>
      <c r="G3">
        <v>2.0270000000000001</v>
      </c>
      <c r="H3">
        <v>209.28800000000001</v>
      </c>
      <c r="I3">
        <v>6.5644171779141114E-2</v>
      </c>
      <c r="J3">
        <v>226.154</v>
      </c>
      <c r="K3">
        <v>0.99907975460122711</v>
      </c>
      <c r="L3">
        <v>0.28699999999999998</v>
      </c>
      <c r="M3">
        <v>-30.907</v>
      </c>
      <c r="N3">
        <v>484.23500000000001</v>
      </c>
      <c r="O3">
        <v>466.94099999999997</v>
      </c>
      <c r="P3">
        <v>113.34099999999999</v>
      </c>
      <c r="Q3">
        <v>363.17599999999999</v>
      </c>
      <c r="R3">
        <v>985.76499999999999</v>
      </c>
      <c r="S3">
        <v>1247.9559999999999</v>
      </c>
      <c r="T3">
        <v>1245.1759999999999</v>
      </c>
      <c r="U3">
        <v>65.049000000000007</v>
      </c>
      <c r="V3">
        <v>1141.412</v>
      </c>
      <c r="W3">
        <v>1452.7059999999999</v>
      </c>
      <c r="X3">
        <v>3017.2060000000001</v>
      </c>
      <c r="Y3">
        <v>2957.2939999999999</v>
      </c>
      <c r="Z3">
        <v>315.05099999999999</v>
      </c>
      <c r="AA3">
        <v>2179.0590000000002</v>
      </c>
      <c r="AB3">
        <v>3891.1759999999999</v>
      </c>
      <c r="AC3">
        <v>3.26</v>
      </c>
      <c r="AD3">
        <v>219.41800000000001</v>
      </c>
      <c r="AE3">
        <v>219.715</v>
      </c>
      <c r="AF3">
        <v>2.5790000000000002</v>
      </c>
      <c r="AG3">
        <v>203.494</v>
      </c>
      <c r="AH3">
        <v>0</v>
      </c>
      <c r="AI3">
        <v>223.696</v>
      </c>
      <c r="AJ3">
        <v>0.54628099173553724</v>
      </c>
      <c r="AK3">
        <v>0.32300000000000001</v>
      </c>
      <c r="AL3">
        <v>-32.243000000000002</v>
      </c>
      <c r="AM3">
        <v>374.57600000000002</v>
      </c>
      <c r="AN3">
        <v>373.72899999999998</v>
      </c>
      <c r="AO3">
        <v>9513</v>
      </c>
      <c r="AP3">
        <v>320.339</v>
      </c>
      <c r="AQ3">
        <v>427.11900000000003</v>
      </c>
      <c r="AR3">
        <v>1815.2539999999999</v>
      </c>
      <c r="AS3">
        <v>1761.864</v>
      </c>
      <c r="AT3">
        <v>313.34199999999998</v>
      </c>
      <c r="AU3">
        <v>1441.5250000000001</v>
      </c>
      <c r="AV3">
        <v>2402.5419999999999</v>
      </c>
      <c r="AW3">
        <v>3340.6179999999999</v>
      </c>
      <c r="AX3">
        <v>3310.1689999999999</v>
      </c>
      <c r="AY3">
        <v>255.714</v>
      </c>
      <c r="AZ3">
        <v>2562.712</v>
      </c>
      <c r="BA3">
        <v>4057.627</v>
      </c>
      <c r="BB3">
        <v>2.42</v>
      </c>
      <c r="BC3">
        <v>228.66800000000001</v>
      </c>
      <c r="BD3">
        <v>227.99100000000001</v>
      </c>
      <c r="BE3">
        <v>3.4129999999999998</v>
      </c>
      <c r="BF3">
        <v>216.63200000000001</v>
      </c>
      <c r="BG3">
        <v>0.96566265060240963</v>
      </c>
      <c r="BH3">
        <v>239.67400000000001</v>
      </c>
      <c r="BI3">
        <v>4.5180722891566265E-2</v>
      </c>
      <c r="BJ3">
        <v>0.35</v>
      </c>
      <c r="BK3">
        <v>-32.286000000000001</v>
      </c>
      <c r="BL3">
        <v>441.28100000000001</v>
      </c>
      <c r="BM3">
        <v>444.33199999999999</v>
      </c>
      <c r="BN3">
        <v>12.727</v>
      </c>
      <c r="BO3">
        <v>388.791</v>
      </c>
      <c r="BP3">
        <v>444.33199999999999</v>
      </c>
      <c r="BQ3">
        <v>1319.1120000000001</v>
      </c>
      <c r="BR3">
        <v>1360.768</v>
      </c>
      <c r="BS3">
        <v>167.285</v>
      </c>
      <c r="BT3">
        <v>1110.8309999999999</v>
      </c>
      <c r="BU3">
        <v>1499.6220000000001</v>
      </c>
      <c r="BV3">
        <v>4054.5340000000001</v>
      </c>
      <c r="BW3">
        <v>4054.5340000000001</v>
      </c>
      <c r="BX3">
        <v>294.94600000000003</v>
      </c>
      <c r="BY3">
        <v>2888.1610000000001</v>
      </c>
      <c r="BZ3">
        <v>4498.866</v>
      </c>
      <c r="CA3">
        <v>1.66</v>
      </c>
    </row>
    <row r="4" spans="1:84" x14ac:dyDescent="0.35">
      <c r="A4" t="s">
        <v>80</v>
      </c>
      <c r="B4" t="str">
        <f t="shared" si="0"/>
        <v xml:space="preserve"> al_bo_2002_07_25_563</v>
      </c>
      <c r="C4" s="1">
        <f t="shared" si="1"/>
        <v>45748</v>
      </c>
      <c r="D4" t="s">
        <v>78</v>
      </c>
      <c r="E4">
        <v>156.291</v>
      </c>
      <c r="F4">
        <v>154.81399999999999</v>
      </c>
      <c r="G4">
        <v>6.3150000000000004</v>
      </c>
      <c r="H4">
        <v>147</v>
      </c>
      <c r="I4">
        <v>0.94847328244274798</v>
      </c>
      <c r="J4">
        <v>200.715</v>
      </c>
      <c r="K4">
        <v>0</v>
      </c>
      <c r="L4">
        <v>1.3</v>
      </c>
      <c r="M4">
        <v>-24.66</v>
      </c>
      <c r="N4">
        <v>583.60199999999998</v>
      </c>
      <c r="O4">
        <v>598.47299999999996</v>
      </c>
      <c r="P4">
        <v>62.628</v>
      </c>
      <c r="Q4">
        <v>411.45</v>
      </c>
      <c r="R4">
        <v>673.28200000000004</v>
      </c>
      <c r="S4">
        <v>1267.0309999999999</v>
      </c>
      <c r="T4">
        <v>1234.3510000000001</v>
      </c>
      <c r="U4">
        <v>114.608</v>
      </c>
      <c r="V4">
        <v>1122.1369999999999</v>
      </c>
      <c r="W4">
        <v>1720.6110000000001</v>
      </c>
      <c r="X4">
        <v>3977.2249999999999</v>
      </c>
      <c r="Y4">
        <v>4077.0990000000002</v>
      </c>
      <c r="Z4">
        <v>396.83499999999998</v>
      </c>
      <c r="AA4">
        <v>2655.7249999999999</v>
      </c>
      <c r="AB4">
        <v>4488.55</v>
      </c>
      <c r="AC4">
        <v>2.62</v>
      </c>
      <c r="AD4">
        <v>157.255</v>
      </c>
      <c r="AE4">
        <v>156.304</v>
      </c>
      <c r="AF4">
        <v>6.9009999999999998</v>
      </c>
      <c r="AG4">
        <v>148.62799999999999</v>
      </c>
      <c r="AH4">
        <v>0.44716981132075467</v>
      </c>
      <c r="AI4">
        <v>188.46199999999999</v>
      </c>
      <c r="AJ4">
        <v>0</v>
      </c>
      <c r="AK4">
        <v>1.4610000000000001</v>
      </c>
      <c r="AL4">
        <v>-25.567</v>
      </c>
      <c r="AM4">
        <v>309.80200000000002</v>
      </c>
      <c r="AN4">
        <v>298.983</v>
      </c>
      <c r="AO4">
        <v>17.062000000000001</v>
      </c>
      <c r="AP4">
        <v>298.983</v>
      </c>
      <c r="AQ4">
        <v>336.35599999999999</v>
      </c>
      <c r="AR4">
        <v>1637.963</v>
      </c>
      <c r="AS4">
        <v>1644.4069999999999</v>
      </c>
      <c r="AT4">
        <v>80.777000000000001</v>
      </c>
      <c r="AU4">
        <v>1457.5419999999999</v>
      </c>
      <c r="AV4">
        <v>1906.0170000000001</v>
      </c>
      <c r="AW4">
        <v>3836.47</v>
      </c>
      <c r="AX4">
        <v>3849.4070000000002</v>
      </c>
      <c r="AY4">
        <v>178.25200000000001</v>
      </c>
      <c r="AZ4">
        <v>3400.9319999999998</v>
      </c>
      <c r="BA4">
        <v>4148.3900000000003</v>
      </c>
      <c r="BB4">
        <v>2.12</v>
      </c>
      <c r="BC4">
        <v>159.321</v>
      </c>
      <c r="BD4">
        <v>156.423</v>
      </c>
      <c r="BE4">
        <v>9.9860000000000007</v>
      </c>
      <c r="BF4">
        <v>151.54599999999999</v>
      </c>
      <c r="BG4">
        <v>0.39132653061224493</v>
      </c>
      <c r="BH4">
        <v>221.92699999999999</v>
      </c>
      <c r="BI4">
        <v>1.3265306122448979E-2</v>
      </c>
      <c r="BJ4">
        <v>1.51</v>
      </c>
      <c r="BK4">
        <v>-26.8</v>
      </c>
      <c r="BL4">
        <v>332.72399999999999</v>
      </c>
      <c r="BM4">
        <v>306.78300000000002</v>
      </c>
      <c r="BN4">
        <v>49.704999999999998</v>
      </c>
      <c r="BO4">
        <v>306.78300000000002</v>
      </c>
      <c r="BP4">
        <v>575.21699999999998</v>
      </c>
      <c r="BQ4">
        <v>1463.1590000000001</v>
      </c>
      <c r="BR4">
        <v>1457.2170000000001</v>
      </c>
      <c r="BS4">
        <v>127.292</v>
      </c>
      <c r="BT4">
        <v>997.04300000000001</v>
      </c>
      <c r="BU4">
        <v>1687.3040000000001</v>
      </c>
      <c r="BV4">
        <v>3096.328</v>
      </c>
      <c r="BW4">
        <v>3048.652</v>
      </c>
      <c r="BX4">
        <v>187.76400000000001</v>
      </c>
      <c r="BY4">
        <v>2799.3910000000001</v>
      </c>
      <c r="BZ4">
        <v>4103.2169999999996</v>
      </c>
      <c r="CA4">
        <v>1.96</v>
      </c>
      <c r="CB4">
        <v>8</v>
      </c>
      <c r="CC4">
        <v>2</v>
      </c>
      <c r="CD4">
        <v>4</v>
      </c>
      <c r="CE4">
        <v>2</v>
      </c>
      <c r="CF4">
        <v>3</v>
      </c>
    </row>
    <row r="5" spans="1:84" x14ac:dyDescent="0.35">
      <c r="A5" t="s">
        <v>177</v>
      </c>
      <c r="B5" t="str">
        <f t="shared" si="0"/>
        <v xml:space="preserve"> al_ca_2001_02_11_269</v>
      </c>
      <c r="C5" s="1">
        <f t="shared" si="1"/>
        <v>45753</v>
      </c>
      <c r="D5" t="s">
        <v>78</v>
      </c>
      <c r="E5">
        <v>189.96199999999999</v>
      </c>
      <c r="F5">
        <v>191.14599999999999</v>
      </c>
      <c r="G5">
        <v>11.917</v>
      </c>
      <c r="H5">
        <v>106.854</v>
      </c>
      <c r="I5">
        <v>0</v>
      </c>
      <c r="J5">
        <v>201.501</v>
      </c>
      <c r="K5">
        <v>1.9166666666666669E-2</v>
      </c>
      <c r="L5">
        <v>1.968</v>
      </c>
      <c r="M5">
        <v>-29.195</v>
      </c>
      <c r="N5">
        <v>520.64400000000001</v>
      </c>
      <c r="O5">
        <v>533.46799999999996</v>
      </c>
      <c r="P5">
        <v>38.712000000000003</v>
      </c>
      <c r="Q5">
        <v>444.55599999999998</v>
      </c>
      <c r="R5">
        <v>577.923</v>
      </c>
      <c r="S5">
        <v>960.00199999999995</v>
      </c>
      <c r="T5">
        <v>978.024</v>
      </c>
      <c r="U5">
        <v>30.475999999999999</v>
      </c>
      <c r="V5">
        <v>933.56899999999996</v>
      </c>
      <c r="W5">
        <v>1066.9349999999999</v>
      </c>
      <c r="X5">
        <v>2737.442</v>
      </c>
      <c r="Y5">
        <v>2734.0219999999999</v>
      </c>
      <c r="Z5">
        <v>108.661</v>
      </c>
      <c r="AA5">
        <v>2445.06</v>
      </c>
      <c r="AB5">
        <v>2978.5279999999998</v>
      </c>
      <c r="AC5">
        <v>1.2</v>
      </c>
      <c r="AD5">
        <v>204.59700000000001</v>
      </c>
      <c r="AE5">
        <v>202.029</v>
      </c>
      <c r="AF5">
        <v>12.561</v>
      </c>
      <c r="AG5">
        <v>197.75800000000001</v>
      </c>
      <c r="AH5">
        <v>0.34492753623188405</v>
      </c>
      <c r="AI5">
        <v>297.97300000000001</v>
      </c>
      <c r="AJ5">
        <v>0</v>
      </c>
      <c r="AK5">
        <v>1.087</v>
      </c>
      <c r="AL5">
        <v>-28.388000000000002</v>
      </c>
      <c r="AM5">
        <v>379.40600000000001</v>
      </c>
      <c r="AN5">
        <v>392.43599999999998</v>
      </c>
      <c r="AO5">
        <v>23.521000000000001</v>
      </c>
      <c r="AP5">
        <v>343.38200000000001</v>
      </c>
      <c r="AQ5">
        <v>441.49099999999999</v>
      </c>
      <c r="AR5">
        <v>2290.8449999999998</v>
      </c>
      <c r="AS5">
        <v>2403.6709999999998</v>
      </c>
      <c r="AT5">
        <v>312.86500000000001</v>
      </c>
      <c r="AU5">
        <v>1471.635</v>
      </c>
      <c r="AV5">
        <v>2501.7800000000002</v>
      </c>
      <c r="AW5">
        <v>3123.88</v>
      </c>
      <c r="AX5">
        <v>3090.4340000000002</v>
      </c>
      <c r="AY5">
        <v>169.52799999999999</v>
      </c>
      <c r="AZ5">
        <v>2894.2159999999999</v>
      </c>
      <c r="BA5">
        <v>4120.5780000000004</v>
      </c>
      <c r="BB5">
        <v>1.38</v>
      </c>
      <c r="BC5">
        <v>201.14699999999999</v>
      </c>
      <c r="BD5">
        <v>200.846</v>
      </c>
      <c r="BE5">
        <v>3.5550000000000002</v>
      </c>
      <c r="BF5">
        <v>194.39500000000001</v>
      </c>
      <c r="BG5">
        <v>0.99489795918367352</v>
      </c>
      <c r="BH5">
        <v>216.48</v>
      </c>
      <c r="BI5">
        <v>2.0408163265306124E-2</v>
      </c>
      <c r="BJ5">
        <v>0.56100000000000005</v>
      </c>
      <c r="BK5">
        <v>-29.015999999999998</v>
      </c>
      <c r="BL5">
        <v>395.84399999999999</v>
      </c>
      <c r="BM5">
        <v>393.75</v>
      </c>
      <c r="BN5">
        <v>10.042</v>
      </c>
      <c r="BO5">
        <v>393.75</v>
      </c>
      <c r="BP5">
        <v>442.96899999999999</v>
      </c>
      <c r="BQ5">
        <v>980.43799999999999</v>
      </c>
      <c r="BR5">
        <v>935.15599999999995</v>
      </c>
      <c r="BS5">
        <v>127.81100000000001</v>
      </c>
      <c r="BT5">
        <v>935.15599999999995</v>
      </c>
      <c r="BU5">
        <v>1575</v>
      </c>
      <c r="BV5">
        <v>3345.828</v>
      </c>
      <c r="BW5">
        <v>3396.0940000000001</v>
      </c>
      <c r="BX5">
        <v>181.12899999999999</v>
      </c>
      <c r="BY5">
        <v>2608.5940000000001</v>
      </c>
      <c r="BZ5">
        <v>3543.75</v>
      </c>
      <c r="CA5">
        <v>0.98</v>
      </c>
    </row>
    <row r="6" spans="1:84" x14ac:dyDescent="0.35">
      <c r="A6" t="s">
        <v>178</v>
      </c>
      <c r="B6" t="str">
        <f t="shared" si="0"/>
        <v xml:space="preserve"> al_lo_1999_09_19_127</v>
      </c>
      <c r="C6" s="1">
        <f t="shared" si="1"/>
        <v>45753</v>
      </c>
      <c r="D6" t="s">
        <v>78</v>
      </c>
      <c r="E6">
        <v>190.01499999999999</v>
      </c>
      <c r="F6">
        <v>189.73599999999999</v>
      </c>
      <c r="G6">
        <v>2.6760000000000002</v>
      </c>
      <c r="H6">
        <v>186.18799999999999</v>
      </c>
      <c r="I6">
        <v>0.5161290322580645</v>
      </c>
      <c r="J6">
        <v>214.97200000000001</v>
      </c>
      <c r="K6">
        <v>0</v>
      </c>
      <c r="L6">
        <v>0.376</v>
      </c>
      <c r="M6">
        <v>-29.931000000000001</v>
      </c>
      <c r="N6">
        <v>495.92</v>
      </c>
      <c r="O6">
        <v>501.65499999999997</v>
      </c>
      <c r="P6">
        <v>80.433000000000007</v>
      </c>
      <c r="Q6">
        <v>364.84</v>
      </c>
      <c r="R6">
        <v>1003.309</v>
      </c>
      <c r="S6">
        <v>1114.115</v>
      </c>
      <c r="T6">
        <v>1094.519</v>
      </c>
      <c r="U6">
        <v>65.923000000000002</v>
      </c>
      <c r="V6">
        <v>1003.309</v>
      </c>
      <c r="W6">
        <v>1276.9390000000001</v>
      </c>
      <c r="X6">
        <v>2460.2249999999999</v>
      </c>
      <c r="Y6">
        <v>2462.6680000000001</v>
      </c>
      <c r="Z6">
        <v>185.148</v>
      </c>
      <c r="AA6">
        <v>1961.0129999999999</v>
      </c>
      <c r="AB6">
        <v>3055.5329999999999</v>
      </c>
      <c r="AC6">
        <v>3.72</v>
      </c>
      <c r="AD6">
        <v>192.078</v>
      </c>
      <c r="AE6">
        <v>192.09700000000001</v>
      </c>
      <c r="AF6">
        <v>2.7320000000000002</v>
      </c>
      <c r="AG6">
        <v>186.52600000000001</v>
      </c>
      <c r="AH6">
        <v>0.2181818181818182</v>
      </c>
      <c r="AI6">
        <v>218.78100000000001</v>
      </c>
      <c r="AJ6">
        <v>0</v>
      </c>
      <c r="AK6">
        <v>0.374</v>
      </c>
      <c r="AL6">
        <v>-29.832999999999998</v>
      </c>
      <c r="AM6">
        <v>320.279</v>
      </c>
      <c r="AN6">
        <v>320.89400000000001</v>
      </c>
      <c r="AO6">
        <v>5293</v>
      </c>
      <c r="AP6">
        <v>275.05200000000002</v>
      </c>
      <c r="AQ6">
        <v>320.89400000000001</v>
      </c>
      <c r="AW6">
        <v>4032.09</v>
      </c>
      <c r="AX6">
        <v>4034.096</v>
      </c>
      <c r="AY6">
        <v>204.71100000000001</v>
      </c>
      <c r="AZ6">
        <v>3117.2559999999999</v>
      </c>
      <c r="BA6">
        <v>4630.0420000000004</v>
      </c>
      <c r="BB6">
        <v>3.52</v>
      </c>
      <c r="BC6">
        <v>191.81200000000001</v>
      </c>
      <c r="BD6">
        <v>191.739</v>
      </c>
      <c r="BE6">
        <v>2.8460000000000001</v>
      </c>
      <c r="BF6">
        <v>184.85</v>
      </c>
      <c r="BG6">
        <v>0.83223350253807105</v>
      </c>
      <c r="BH6">
        <v>221.608</v>
      </c>
      <c r="BI6">
        <v>5.0761421319796959E-3</v>
      </c>
      <c r="BJ6">
        <v>0.33800000000000002</v>
      </c>
      <c r="BK6">
        <v>-31.457000000000001</v>
      </c>
      <c r="BL6">
        <v>343.62099999999998</v>
      </c>
      <c r="BM6">
        <v>365.21699999999998</v>
      </c>
      <c r="BN6">
        <v>23.404</v>
      </c>
      <c r="BO6">
        <v>319.565</v>
      </c>
      <c r="BP6">
        <v>410.87</v>
      </c>
      <c r="BQ6">
        <v>1024.4659999999999</v>
      </c>
      <c r="BR6">
        <v>1004.348</v>
      </c>
      <c r="BS6">
        <v>69.531000000000006</v>
      </c>
      <c r="BT6">
        <v>958.69600000000003</v>
      </c>
      <c r="BU6">
        <v>1278.261</v>
      </c>
      <c r="BV6">
        <v>3055.6350000000002</v>
      </c>
      <c r="BW6">
        <v>3058.6959999999999</v>
      </c>
      <c r="BX6">
        <v>180.32400000000001</v>
      </c>
      <c r="BY6">
        <v>2556.5219999999999</v>
      </c>
      <c r="BZ6">
        <v>3606.5219999999999</v>
      </c>
      <c r="CA6">
        <v>3.94</v>
      </c>
      <c r="CB6">
        <v>5</v>
      </c>
      <c r="CC6">
        <v>6</v>
      </c>
      <c r="CD6">
        <v>0</v>
      </c>
      <c r="CE6">
        <v>2</v>
      </c>
      <c r="CF6">
        <v>0</v>
      </c>
    </row>
    <row r="7" spans="1:84" x14ac:dyDescent="0.35">
      <c r="A7" t="s">
        <v>148</v>
      </c>
      <c r="B7" t="str">
        <f t="shared" si="0"/>
        <v xml:space="preserve"> al_mi_2004_04_28_724</v>
      </c>
      <c r="C7" s="1">
        <f t="shared" si="1"/>
        <v>45752</v>
      </c>
      <c r="D7" t="s">
        <v>78</v>
      </c>
      <c r="E7">
        <v>199.84299999999999</v>
      </c>
      <c r="F7">
        <v>199.80600000000001</v>
      </c>
      <c r="G7">
        <v>3.2869999999999999</v>
      </c>
      <c r="H7">
        <v>191.858</v>
      </c>
      <c r="I7">
        <v>0.23045977011494254</v>
      </c>
      <c r="J7">
        <v>210.429</v>
      </c>
      <c r="K7">
        <v>2.3563218390804597E-2</v>
      </c>
      <c r="L7">
        <v>0.51100000000000001</v>
      </c>
      <c r="M7">
        <v>-22.331</v>
      </c>
      <c r="N7">
        <v>779.39499999999998</v>
      </c>
      <c r="O7">
        <v>764.46400000000006</v>
      </c>
      <c r="P7">
        <v>45.354999999999997</v>
      </c>
      <c r="Q7">
        <v>668.90599999999995</v>
      </c>
      <c r="R7">
        <v>955.58</v>
      </c>
      <c r="S7">
        <v>1221.8599999999999</v>
      </c>
      <c r="T7">
        <v>1194.4749999999999</v>
      </c>
      <c r="U7">
        <v>43.796999999999997</v>
      </c>
      <c r="V7">
        <v>1146.6959999999999</v>
      </c>
      <c r="W7">
        <v>1337.8109999999999</v>
      </c>
      <c r="X7">
        <v>3277.5219999999999</v>
      </c>
      <c r="Y7">
        <v>3344.529</v>
      </c>
      <c r="Z7">
        <v>196.76300000000001</v>
      </c>
      <c r="AA7">
        <v>2723.402</v>
      </c>
      <c r="AB7">
        <v>3583.424</v>
      </c>
      <c r="AC7">
        <v>1.74</v>
      </c>
      <c r="AD7">
        <v>210.06100000000001</v>
      </c>
      <c r="AE7">
        <v>210.71700000000001</v>
      </c>
      <c r="AF7">
        <v>11.756</v>
      </c>
      <c r="AG7">
        <v>110.645</v>
      </c>
      <c r="AH7">
        <v>1.282051282051282E-2</v>
      </c>
      <c r="AI7">
        <v>224.18299999999999</v>
      </c>
      <c r="AJ7">
        <v>2.564102564102564E-2</v>
      </c>
      <c r="AK7">
        <v>1.6180000000000001</v>
      </c>
      <c r="AL7">
        <v>-28.803999999999998</v>
      </c>
      <c r="AM7">
        <v>336.19299999999998</v>
      </c>
      <c r="AN7">
        <v>354.42</v>
      </c>
      <c r="AO7">
        <v>24.466999999999999</v>
      </c>
      <c r="AP7">
        <v>303.78899999999999</v>
      </c>
      <c r="AQ7">
        <v>354.42</v>
      </c>
      <c r="AR7">
        <v>2310.7629999999999</v>
      </c>
      <c r="AS7">
        <v>2329.047</v>
      </c>
      <c r="AT7">
        <v>86.787999999999997</v>
      </c>
      <c r="AU7">
        <v>1923.9949999999999</v>
      </c>
      <c r="AV7">
        <v>2430.31</v>
      </c>
      <c r="AW7">
        <v>3793.4650000000001</v>
      </c>
      <c r="AX7">
        <v>3847.991</v>
      </c>
      <c r="AY7">
        <v>216.47399999999999</v>
      </c>
      <c r="AZ7">
        <v>2531.5729999999999</v>
      </c>
      <c r="BA7">
        <v>3999.8850000000002</v>
      </c>
      <c r="BB7">
        <v>1.56</v>
      </c>
      <c r="BC7">
        <v>214.935</v>
      </c>
      <c r="BD7">
        <v>214.673</v>
      </c>
      <c r="BE7">
        <v>2.9209999999999998</v>
      </c>
      <c r="BF7">
        <v>207.042</v>
      </c>
      <c r="BG7">
        <v>0</v>
      </c>
      <c r="BH7">
        <v>228.16</v>
      </c>
      <c r="BI7">
        <v>0.9610294117647058</v>
      </c>
      <c r="BJ7">
        <v>0.55800000000000005</v>
      </c>
      <c r="BK7">
        <v>-31.754000000000001</v>
      </c>
      <c r="BL7">
        <v>409.255</v>
      </c>
      <c r="BM7">
        <v>416.03800000000001</v>
      </c>
      <c r="BN7">
        <v>21.687000000000001</v>
      </c>
      <c r="BO7">
        <v>312.02800000000002</v>
      </c>
      <c r="BP7">
        <v>416.03800000000001</v>
      </c>
      <c r="BQ7">
        <v>981.30600000000004</v>
      </c>
      <c r="BR7">
        <v>936.08500000000004</v>
      </c>
      <c r="BS7">
        <v>97.256</v>
      </c>
      <c r="BT7">
        <v>936.08500000000004</v>
      </c>
      <c r="BU7">
        <v>1612.146</v>
      </c>
      <c r="BV7">
        <v>3696.1030000000001</v>
      </c>
      <c r="BW7">
        <v>3744.34</v>
      </c>
      <c r="BX7">
        <v>205.58</v>
      </c>
      <c r="BY7">
        <v>2756.25</v>
      </c>
      <c r="BZ7">
        <v>3900.3539999999998</v>
      </c>
      <c r="CA7">
        <v>1.36</v>
      </c>
      <c r="CB7">
        <v>5</v>
      </c>
      <c r="CC7">
        <v>3</v>
      </c>
      <c r="CD7">
        <v>0</v>
      </c>
      <c r="CE7">
        <v>1</v>
      </c>
      <c r="CF7">
        <v>0</v>
      </c>
    </row>
    <row r="8" spans="1:84" x14ac:dyDescent="0.35">
      <c r="A8" t="s">
        <v>205</v>
      </c>
      <c r="B8" t="str">
        <f t="shared" si="0"/>
        <v xml:space="preserve"> al_mo_2005_10_03_273</v>
      </c>
      <c r="C8" s="1">
        <f t="shared" si="1"/>
        <v>45746</v>
      </c>
      <c r="D8" t="s">
        <v>78</v>
      </c>
      <c r="E8">
        <v>205.636</v>
      </c>
      <c r="F8">
        <v>207.46</v>
      </c>
      <c r="G8">
        <v>16.161999999999999</v>
      </c>
      <c r="H8">
        <v>103.072</v>
      </c>
      <c r="I8">
        <v>2.2222222222222223E-2</v>
      </c>
      <c r="J8">
        <v>217.85499999999999</v>
      </c>
      <c r="K8">
        <v>0.9966666666666667</v>
      </c>
      <c r="L8">
        <v>2.7370000000000001</v>
      </c>
      <c r="M8">
        <v>-21.965</v>
      </c>
      <c r="N8">
        <v>900.23299999999995</v>
      </c>
      <c r="O8">
        <v>882</v>
      </c>
      <c r="P8">
        <v>47.847000000000001</v>
      </c>
      <c r="Q8">
        <v>784</v>
      </c>
      <c r="R8">
        <v>1029</v>
      </c>
      <c r="S8">
        <v>1235.2560000000001</v>
      </c>
      <c r="T8">
        <v>1225</v>
      </c>
      <c r="U8">
        <v>50.784999999999997</v>
      </c>
      <c r="V8">
        <v>1078</v>
      </c>
      <c r="W8">
        <v>1323</v>
      </c>
      <c r="X8">
        <v>2231.2089999999998</v>
      </c>
      <c r="Y8">
        <v>2254</v>
      </c>
      <c r="Z8">
        <v>117.789</v>
      </c>
      <c r="AA8">
        <v>2058</v>
      </c>
      <c r="AB8">
        <v>2499</v>
      </c>
      <c r="AC8">
        <v>0.9</v>
      </c>
      <c r="AD8">
        <v>207.38</v>
      </c>
      <c r="AE8">
        <v>210.86099999999999</v>
      </c>
      <c r="AF8">
        <v>16.942</v>
      </c>
      <c r="AG8">
        <v>105.538</v>
      </c>
      <c r="AH8">
        <v>2.4999999999999998E-2</v>
      </c>
      <c r="AI8">
        <v>213.63300000000001</v>
      </c>
      <c r="AJ8">
        <v>0.25624999999999998</v>
      </c>
      <c r="AK8">
        <v>2.984</v>
      </c>
      <c r="AL8">
        <v>-31.361999999999998</v>
      </c>
      <c r="AM8">
        <v>380.76900000000001</v>
      </c>
      <c r="AN8">
        <v>400</v>
      </c>
      <c r="AO8">
        <v>24.643000000000001</v>
      </c>
      <c r="AP8">
        <v>350</v>
      </c>
      <c r="AQ8">
        <v>400</v>
      </c>
      <c r="AW8">
        <v>3350</v>
      </c>
      <c r="AX8">
        <v>3350</v>
      </c>
      <c r="AY8">
        <v>130.28299999999999</v>
      </c>
      <c r="AZ8">
        <v>3050</v>
      </c>
      <c r="BA8">
        <v>3600</v>
      </c>
      <c r="BB8">
        <v>0.8</v>
      </c>
      <c r="BC8">
        <v>213.41499999999999</v>
      </c>
      <c r="BD8">
        <v>213.191</v>
      </c>
      <c r="BE8">
        <v>2.63</v>
      </c>
      <c r="BF8">
        <v>205.66300000000001</v>
      </c>
      <c r="BG8">
        <v>2.4390243902439025E-2</v>
      </c>
      <c r="BH8">
        <v>226.154</v>
      </c>
      <c r="BI8">
        <v>0.99878048780487805</v>
      </c>
      <c r="BJ8">
        <v>0.42499999999999999</v>
      </c>
      <c r="BK8">
        <v>-30.18</v>
      </c>
      <c r="BL8">
        <v>413.214</v>
      </c>
      <c r="BM8">
        <v>410.71</v>
      </c>
      <c r="BN8">
        <v>11.196</v>
      </c>
      <c r="BO8">
        <v>410.71</v>
      </c>
      <c r="BP8">
        <v>462.04899999999998</v>
      </c>
      <c r="BQ8">
        <v>983.99300000000005</v>
      </c>
      <c r="BR8">
        <v>975.43700000000001</v>
      </c>
      <c r="BS8">
        <v>19.984000000000002</v>
      </c>
      <c r="BT8">
        <v>975.43700000000001</v>
      </c>
      <c r="BU8">
        <v>1026.7750000000001</v>
      </c>
      <c r="BV8">
        <v>3862.9290000000001</v>
      </c>
      <c r="BW8">
        <v>3850.4070000000002</v>
      </c>
      <c r="BX8">
        <v>290.13900000000001</v>
      </c>
      <c r="BY8">
        <v>3337.02</v>
      </c>
      <c r="BZ8">
        <v>4723.1660000000002</v>
      </c>
      <c r="CA8">
        <v>0.82</v>
      </c>
      <c r="CB8">
        <v>5</v>
      </c>
      <c r="CC8">
        <v>0</v>
      </c>
      <c r="CD8">
        <v>2</v>
      </c>
      <c r="CE8">
        <v>2</v>
      </c>
      <c r="CF8">
        <v>4</v>
      </c>
    </row>
    <row r="9" spans="1:84" x14ac:dyDescent="0.35">
      <c r="A9" t="s">
        <v>149</v>
      </c>
      <c r="B9" t="str">
        <f t="shared" si="0"/>
        <v xml:space="preserve"> al_pe_2001_04_20_079</v>
      </c>
      <c r="C9" s="1">
        <f t="shared" si="1"/>
        <v>45752</v>
      </c>
      <c r="D9" t="s">
        <v>78</v>
      </c>
      <c r="E9">
        <v>150.79</v>
      </c>
      <c r="F9">
        <v>150.32900000000001</v>
      </c>
      <c r="G9">
        <v>5.3460000000000001</v>
      </c>
      <c r="H9">
        <v>142.52099999999999</v>
      </c>
      <c r="I9">
        <v>0.98892857142857149</v>
      </c>
      <c r="J9">
        <v>199.935</v>
      </c>
      <c r="K9">
        <v>0</v>
      </c>
      <c r="L9">
        <v>1.018</v>
      </c>
      <c r="M9">
        <v>-27.640999999999998</v>
      </c>
      <c r="N9">
        <v>403.07600000000002</v>
      </c>
      <c r="O9">
        <v>397.29700000000003</v>
      </c>
      <c r="P9">
        <v>62.603999999999999</v>
      </c>
      <c r="Q9">
        <v>361.17899999999997</v>
      </c>
      <c r="R9">
        <v>866.83</v>
      </c>
      <c r="S9">
        <v>1287.95</v>
      </c>
      <c r="T9">
        <v>1300.2460000000001</v>
      </c>
      <c r="U9">
        <v>71.367000000000004</v>
      </c>
      <c r="V9">
        <v>1083.538</v>
      </c>
      <c r="W9">
        <v>1444.7170000000001</v>
      </c>
      <c r="X9">
        <v>2488.8870000000002</v>
      </c>
      <c r="Y9">
        <v>2492.1379999999999</v>
      </c>
      <c r="Z9">
        <v>278.54599999999999</v>
      </c>
      <c r="AA9">
        <v>2058.7220000000002</v>
      </c>
      <c r="AB9">
        <v>3864.6190000000001</v>
      </c>
      <c r="AC9">
        <v>2.8</v>
      </c>
      <c r="AD9">
        <v>155.53200000000001</v>
      </c>
      <c r="AE9">
        <v>155.595</v>
      </c>
      <c r="AF9">
        <v>3.113</v>
      </c>
      <c r="AG9">
        <v>133.405</v>
      </c>
      <c r="AH9">
        <v>0</v>
      </c>
      <c r="AI9">
        <v>163.506</v>
      </c>
      <c r="AJ9">
        <v>1.8243243243243244E-2</v>
      </c>
      <c r="AK9">
        <v>0.72099999999999997</v>
      </c>
      <c r="AL9">
        <v>-25.407</v>
      </c>
      <c r="AM9">
        <v>318.245</v>
      </c>
      <c r="AN9">
        <v>335.50299999999999</v>
      </c>
      <c r="AO9">
        <v>20.016999999999999</v>
      </c>
      <c r="AP9">
        <v>298.22500000000002</v>
      </c>
      <c r="AQ9">
        <v>372.78100000000001</v>
      </c>
      <c r="AR9">
        <v>1945.9169999999999</v>
      </c>
      <c r="AS9">
        <v>1975.74</v>
      </c>
      <c r="AT9">
        <v>154.22399999999999</v>
      </c>
      <c r="AU9">
        <v>1677.5150000000001</v>
      </c>
      <c r="AV9">
        <v>2199.4079999999999</v>
      </c>
      <c r="AW9">
        <v>3427.8760000000002</v>
      </c>
      <c r="AX9">
        <v>3466.864</v>
      </c>
      <c r="AY9">
        <v>139.05600000000001</v>
      </c>
      <c r="AZ9">
        <v>3056.8049999999998</v>
      </c>
      <c r="BA9">
        <v>3690.5329999999999</v>
      </c>
      <c r="BB9">
        <v>2.96</v>
      </c>
      <c r="BC9">
        <v>165.98400000000001</v>
      </c>
      <c r="BD9">
        <v>165.78899999999999</v>
      </c>
      <c r="BE9">
        <v>2.6320000000000001</v>
      </c>
      <c r="BF9">
        <v>162.38800000000001</v>
      </c>
      <c r="BG9">
        <v>0.98941605839416047</v>
      </c>
      <c r="BH9">
        <v>184.51900000000001</v>
      </c>
      <c r="BI9">
        <v>0</v>
      </c>
      <c r="BJ9">
        <v>0.47099999999999997</v>
      </c>
      <c r="BK9">
        <v>-26.385000000000002</v>
      </c>
      <c r="BL9">
        <v>339.53399999999999</v>
      </c>
      <c r="BM9">
        <v>315.846</v>
      </c>
      <c r="BN9">
        <v>31.942</v>
      </c>
      <c r="BO9">
        <v>276.36500000000001</v>
      </c>
      <c r="BP9">
        <v>434.28800000000001</v>
      </c>
      <c r="BQ9">
        <v>1250.2239999999999</v>
      </c>
      <c r="BR9">
        <v>1184.423</v>
      </c>
      <c r="BS9">
        <v>149.47200000000001</v>
      </c>
      <c r="BT9">
        <v>1144.942</v>
      </c>
      <c r="BU9">
        <v>1421.307</v>
      </c>
      <c r="BV9">
        <v>3161.0430000000001</v>
      </c>
      <c r="BW9">
        <v>3197.9409999999998</v>
      </c>
      <c r="BX9">
        <v>121.539</v>
      </c>
      <c r="BY9">
        <v>2803.1329999999998</v>
      </c>
      <c r="BZ9">
        <v>3434.8249999999998</v>
      </c>
      <c r="CA9">
        <v>2.74</v>
      </c>
    </row>
    <row r="10" spans="1:84" x14ac:dyDescent="0.35">
      <c r="A10" t="s">
        <v>150</v>
      </c>
      <c r="B10" t="str">
        <f t="shared" si="0"/>
        <v xml:space="preserve"> al_sc_2000_09_09_522</v>
      </c>
      <c r="C10" s="1">
        <f t="shared" si="1"/>
        <v>45752</v>
      </c>
      <c r="D10" t="s">
        <v>78</v>
      </c>
      <c r="E10">
        <v>178.44200000000001</v>
      </c>
      <c r="F10">
        <v>177.00700000000001</v>
      </c>
      <c r="G10">
        <v>5.5979999999999999</v>
      </c>
      <c r="H10">
        <v>174.40700000000001</v>
      </c>
      <c r="I10">
        <v>0.42260273972602741</v>
      </c>
      <c r="J10">
        <v>211.005</v>
      </c>
      <c r="K10">
        <v>1.6438356164383564E-2</v>
      </c>
      <c r="L10">
        <v>0.83499999999999996</v>
      </c>
      <c r="M10">
        <v>-17.84</v>
      </c>
      <c r="N10">
        <v>707.49400000000003</v>
      </c>
      <c r="O10">
        <v>728.57100000000003</v>
      </c>
      <c r="P10">
        <v>44.000999999999998</v>
      </c>
      <c r="Q10">
        <v>557.14300000000003</v>
      </c>
      <c r="R10">
        <v>900</v>
      </c>
      <c r="S10">
        <v>1141.4290000000001</v>
      </c>
      <c r="T10">
        <v>1114.2860000000001</v>
      </c>
      <c r="U10">
        <v>95.331999999999994</v>
      </c>
      <c r="V10">
        <v>1071.4290000000001</v>
      </c>
      <c r="W10">
        <v>1800</v>
      </c>
      <c r="X10">
        <v>3108.1970000000001</v>
      </c>
      <c r="Y10">
        <v>3085.7139999999999</v>
      </c>
      <c r="Z10">
        <v>130.839</v>
      </c>
      <c r="AA10">
        <v>2871.4290000000001</v>
      </c>
      <c r="AB10">
        <v>3428.5709999999999</v>
      </c>
      <c r="AC10">
        <v>1.46</v>
      </c>
      <c r="AD10">
        <v>186.47200000000001</v>
      </c>
      <c r="AE10">
        <v>181.69499999999999</v>
      </c>
      <c r="AF10">
        <v>18.364999999999998</v>
      </c>
      <c r="AG10">
        <v>179.06</v>
      </c>
      <c r="AH10">
        <v>0.76885245901639343</v>
      </c>
      <c r="AI10">
        <v>286.36399999999998</v>
      </c>
      <c r="AJ10">
        <v>0</v>
      </c>
      <c r="AK10">
        <v>1.0960000000000001</v>
      </c>
      <c r="AL10">
        <v>-26.132999999999999</v>
      </c>
      <c r="AM10">
        <v>358.077</v>
      </c>
      <c r="AN10">
        <v>356.36399999999998</v>
      </c>
      <c r="AO10">
        <v>8.65</v>
      </c>
      <c r="AP10">
        <v>356.36399999999998</v>
      </c>
      <c r="AQ10">
        <v>400.90899999999999</v>
      </c>
      <c r="AR10">
        <v>2521.2730000000001</v>
      </c>
      <c r="AS10">
        <v>2583.636</v>
      </c>
      <c r="AT10">
        <v>269.27999999999997</v>
      </c>
      <c r="AU10">
        <v>1559.0909999999999</v>
      </c>
      <c r="AV10">
        <v>2628.1819999999998</v>
      </c>
      <c r="AW10">
        <v>3327.4609999999998</v>
      </c>
      <c r="AX10">
        <v>3385.4549999999999</v>
      </c>
      <c r="AY10">
        <v>162.87200000000001</v>
      </c>
      <c r="AZ10">
        <v>2850.9090000000001</v>
      </c>
      <c r="BA10">
        <v>3608.1819999999998</v>
      </c>
      <c r="BB10">
        <v>1.22</v>
      </c>
      <c r="BC10">
        <v>184.70599999999999</v>
      </c>
      <c r="BD10">
        <v>183.696</v>
      </c>
      <c r="BE10">
        <v>3.9870000000000001</v>
      </c>
      <c r="BF10">
        <v>179.58099999999999</v>
      </c>
      <c r="BG10">
        <v>0.24848484848484848</v>
      </c>
      <c r="BH10">
        <v>204.167</v>
      </c>
      <c r="BI10">
        <v>0</v>
      </c>
      <c r="BJ10">
        <v>0.57399999999999995</v>
      </c>
      <c r="BK10">
        <v>-28.064</v>
      </c>
      <c r="BL10">
        <v>354.142</v>
      </c>
      <c r="BM10">
        <v>347.92899999999997</v>
      </c>
      <c r="BN10">
        <v>17.452999999999999</v>
      </c>
      <c r="BO10">
        <v>347.92899999999997</v>
      </c>
      <c r="BP10">
        <v>434.911</v>
      </c>
      <c r="BQ10">
        <v>1038.114</v>
      </c>
      <c r="BR10">
        <v>1043.787</v>
      </c>
      <c r="BS10">
        <v>27.206</v>
      </c>
      <c r="BT10">
        <v>1000.296</v>
      </c>
      <c r="BU10">
        <v>1087.278</v>
      </c>
      <c r="BV10">
        <v>3412.5</v>
      </c>
      <c r="BW10">
        <v>3392.308</v>
      </c>
      <c r="BX10">
        <v>211.11</v>
      </c>
      <c r="BY10">
        <v>3087.87</v>
      </c>
      <c r="BZ10">
        <v>3914.201</v>
      </c>
      <c r="CA10">
        <v>1.32</v>
      </c>
    </row>
    <row r="11" spans="1:84" x14ac:dyDescent="0.35">
      <c r="A11" t="s">
        <v>110</v>
      </c>
      <c r="B11" t="str">
        <f t="shared" si="0"/>
        <v xml:space="preserve"> al_va_2004_12_16_206</v>
      </c>
      <c r="C11" s="1">
        <f t="shared" si="1"/>
        <v>45750</v>
      </c>
      <c r="D11" t="s">
        <v>78</v>
      </c>
      <c r="E11">
        <v>211.73400000000001</v>
      </c>
      <c r="F11">
        <v>212.45699999999999</v>
      </c>
      <c r="G11">
        <v>4.7779999999999996</v>
      </c>
      <c r="H11">
        <v>173.33</v>
      </c>
      <c r="I11">
        <v>7.0422535211267607E-3</v>
      </c>
      <c r="J11">
        <v>218.471</v>
      </c>
      <c r="K11">
        <v>0.9887323943661972</v>
      </c>
      <c r="L11">
        <v>0.51</v>
      </c>
      <c r="M11">
        <v>-25.376999999999999</v>
      </c>
      <c r="N11">
        <v>758.85900000000004</v>
      </c>
      <c r="O11">
        <v>769.18600000000004</v>
      </c>
      <c r="P11">
        <v>51.308</v>
      </c>
      <c r="Q11">
        <v>410.233</v>
      </c>
      <c r="R11">
        <v>871.74400000000003</v>
      </c>
      <c r="S11">
        <v>1038.204</v>
      </c>
      <c r="T11">
        <v>1025.5809999999999</v>
      </c>
      <c r="U11">
        <v>39.905999999999999</v>
      </c>
      <c r="V11">
        <v>974.30200000000002</v>
      </c>
      <c r="W11">
        <v>1230.6980000000001</v>
      </c>
      <c r="X11">
        <v>2712.0929999999998</v>
      </c>
      <c r="Y11">
        <v>2717.7910000000002</v>
      </c>
      <c r="Z11">
        <v>119.626</v>
      </c>
      <c r="AA11">
        <v>2307.558</v>
      </c>
      <c r="AB11">
        <v>3435.6979999999999</v>
      </c>
      <c r="AC11">
        <v>2.84</v>
      </c>
      <c r="AD11">
        <v>216.429</v>
      </c>
      <c r="AE11">
        <v>216.328</v>
      </c>
      <c r="AF11">
        <v>18.361999999999998</v>
      </c>
      <c r="AG11">
        <v>95.87</v>
      </c>
      <c r="AH11">
        <v>2.75E-2</v>
      </c>
      <c r="AI11">
        <v>324.26499999999999</v>
      </c>
      <c r="AJ11">
        <v>1.3571428571428571E-2</v>
      </c>
      <c r="AK11">
        <v>2.3660000000000001</v>
      </c>
      <c r="AL11">
        <v>-30.367000000000001</v>
      </c>
      <c r="AM11">
        <v>368.08199999999999</v>
      </c>
      <c r="AN11">
        <v>366.62700000000001</v>
      </c>
      <c r="AO11">
        <v>16.323</v>
      </c>
      <c r="AP11">
        <v>314.25200000000001</v>
      </c>
      <c r="AQ11">
        <v>419.00200000000001</v>
      </c>
      <c r="AR11">
        <v>2147.3870000000002</v>
      </c>
      <c r="AS11">
        <v>2304.5129999999999</v>
      </c>
      <c r="AT11">
        <v>466.50299999999999</v>
      </c>
      <c r="AU11">
        <v>1466.508</v>
      </c>
      <c r="AV11">
        <v>2514.0140000000001</v>
      </c>
      <c r="AW11">
        <v>3082.5569999999998</v>
      </c>
      <c r="AX11">
        <v>3037.7669999999998</v>
      </c>
      <c r="AY11">
        <v>100.477</v>
      </c>
      <c r="AZ11">
        <v>2933.0169999999998</v>
      </c>
      <c r="BA11">
        <v>3875.7719999999999</v>
      </c>
      <c r="BB11">
        <v>2.8</v>
      </c>
      <c r="BC11">
        <v>224.66200000000001</v>
      </c>
      <c r="BD11">
        <v>223.291</v>
      </c>
      <c r="BE11">
        <v>10.99</v>
      </c>
      <c r="BF11">
        <v>200.58500000000001</v>
      </c>
      <c r="BG11">
        <v>0.98790849673202619</v>
      </c>
      <c r="BH11">
        <v>308.392</v>
      </c>
      <c r="BI11">
        <v>6.2091503267973852E-3</v>
      </c>
      <c r="BJ11">
        <v>0.64600000000000002</v>
      </c>
      <c r="BK11">
        <v>-31.942</v>
      </c>
      <c r="BL11">
        <v>430.95299999999997</v>
      </c>
      <c r="BM11">
        <v>433.94799999999998</v>
      </c>
      <c r="BN11">
        <v>15.069000000000001</v>
      </c>
      <c r="BO11">
        <v>325.46100000000001</v>
      </c>
      <c r="BP11">
        <v>433.94799999999998</v>
      </c>
      <c r="BQ11">
        <v>1096.925</v>
      </c>
      <c r="BR11">
        <v>1030.627</v>
      </c>
      <c r="BS11">
        <v>242.24700000000001</v>
      </c>
      <c r="BT11">
        <v>976.38400000000001</v>
      </c>
      <c r="BU11">
        <v>1735.7929999999999</v>
      </c>
      <c r="BV11">
        <v>3844.346</v>
      </c>
      <c r="BW11">
        <v>3851.2919999999999</v>
      </c>
      <c r="BX11">
        <v>206.851</v>
      </c>
      <c r="BY11">
        <v>3200.3690000000001</v>
      </c>
      <c r="BZ11">
        <v>4719.1880000000001</v>
      </c>
      <c r="CA11">
        <v>3.06</v>
      </c>
      <c r="CB11">
        <v>8</v>
      </c>
      <c r="CC11">
        <v>2</v>
      </c>
      <c r="CD11">
        <v>2</v>
      </c>
      <c r="CE11">
        <v>4</v>
      </c>
      <c r="CF11">
        <v>6</v>
      </c>
    </row>
    <row r="12" spans="1:84" x14ac:dyDescent="0.35">
      <c r="A12" t="s">
        <v>96</v>
      </c>
      <c r="B12" t="str">
        <f t="shared" si="0"/>
        <v xml:space="preserve"> am_bo_1988_08_24_166</v>
      </c>
      <c r="C12" s="1">
        <f t="shared" si="1"/>
        <v>45749</v>
      </c>
      <c r="D12" t="s">
        <v>78</v>
      </c>
      <c r="E12">
        <v>166.24600000000001</v>
      </c>
      <c r="F12">
        <v>165.7</v>
      </c>
      <c r="G12">
        <v>2.4769999999999999</v>
      </c>
      <c r="H12">
        <v>163.85400000000001</v>
      </c>
      <c r="I12">
        <v>0.25386904761904761</v>
      </c>
      <c r="J12">
        <v>183.64099999999999</v>
      </c>
      <c r="K12">
        <v>2.0833333333333336E-2</v>
      </c>
      <c r="L12">
        <v>0.39500000000000002</v>
      </c>
      <c r="M12">
        <v>-26.488</v>
      </c>
      <c r="N12">
        <v>685.04300000000001</v>
      </c>
      <c r="O12">
        <v>677.84799999999996</v>
      </c>
      <c r="P12">
        <v>49.04</v>
      </c>
      <c r="Q12">
        <v>398.73399999999998</v>
      </c>
      <c r="R12">
        <v>837.34199999999998</v>
      </c>
      <c r="S12">
        <v>1138.809</v>
      </c>
      <c r="T12">
        <v>1156.329</v>
      </c>
      <c r="U12">
        <v>21.052</v>
      </c>
      <c r="V12">
        <v>1116.4559999999999</v>
      </c>
      <c r="W12">
        <v>1196.203</v>
      </c>
      <c r="X12">
        <v>2081.8119999999999</v>
      </c>
      <c r="Y12">
        <v>2073.4180000000001</v>
      </c>
      <c r="Z12">
        <v>56.186999999999998</v>
      </c>
      <c r="AA12">
        <v>1993.671</v>
      </c>
      <c r="AB12">
        <v>2551.8989999999999</v>
      </c>
      <c r="AC12">
        <v>3.36</v>
      </c>
      <c r="AD12">
        <v>167.12299999999999</v>
      </c>
      <c r="AE12">
        <v>164.202</v>
      </c>
      <c r="AF12">
        <v>18.672999999999998</v>
      </c>
      <c r="AG12">
        <v>160.28</v>
      </c>
      <c r="AH12">
        <v>0.1654761904761905</v>
      </c>
      <c r="AI12">
        <v>321.89800000000002</v>
      </c>
      <c r="AJ12">
        <v>0</v>
      </c>
      <c r="AK12">
        <v>0.872</v>
      </c>
      <c r="AL12">
        <v>-29.483000000000001</v>
      </c>
      <c r="AM12">
        <v>322.36099999999999</v>
      </c>
      <c r="AN12">
        <v>318.98700000000002</v>
      </c>
      <c r="AO12">
        <v>19.251000000000001</v>
      </c>
      <c r="AP12">
        <v>318.98700000000002</v>
      </c>
      <c r="AQ12">
        <v>518.35400000000004</v>
      </c>
      <c r="AR12">
        <v>2282.7530000000002</v>
      </c>
      <c r="AS12">
        <v>2332.5949999999998</v>
      </c>
      <c r="AT12">
        <v>198.30099999999999</v>
      </c>
      <c r="AU12">
        <v>1674.684</v>
      </c>
      <c r="AV12">
        <v>2472.152</v>
      </c>
      <c r="AW12">
        <v>3894.7040000000002</v>
      </c>
      <c r="AX12">
        <v>3907.5949999999998</v>
      </c>
      <c r="AY12">
        <v>195.804</v>
      </c>
      <c r="AZ12">
        <v>2870.886</v>
      </c>
      <c r="BA12">
        <v>4306.3289999999997</v>
      </c>
      <c r="BB12">
        <v>3.36</v>
      </c>
      <c r="BC12">
        <v>164.76300000000001</v>
      </c>
      <c r="BD12">
        <v>164.11500000000001</v>
      </c>
      <c r="BE12">
        <v>2.95</v>
      </c>
      <c r="BF12">
        <v>160.114</v>
      </c>
      <c r="BG12">
        <v>0</v>
      </c>
      <c r="BH12">
        <v>182.447</v>
      </c>
      <c r="BI12">
        <v>1.4406779661016948E-2</v>
      </c>
      <c r="BJ12">
        <v>0.49399999999999999</v>
      </c>
      <c r="BK12">
        <v>-29.984000000000002</v>
      </c>
      <c r="BL12">
        <v>334.03399999999999</v>
      </c>
      <c r="BM12">
        <v>316.697</v>
      </c>
      <c r="BN12">
        <v>19.713000000000001</v>
      </c>
      <c r="BO12">
        <v>316.697</v>
      </c>
      <c r="BP12">
        <v>356.28399999999999</v>
      </c>
      <c r="BQ12">
        <v>1051.885</v>
      </c>
      <c r="BR12">
        <v>1029.2639999999999</v>
      </c>
      <c r="BS12">
        <v>75.614000000000004</v>
      </c>
      <c r="BT12">
        <v>989.67700000000002</v>
      </c>
      <c r="BU12">
        <v>1306.373</v>
      </c>
      <c r="BV12">
        <v>2994.9470000000001</v>
      </c>
      <c r="BW12">
        <v>2731.5079999999998</v>
      </c>
      <c r="BX12">
        <v>505.02499999999998</v>
      </c>
      <c r="BY12">
        <v>2335.6370000000002</v>
      </c>
      <c r="BZ12">
        <v>4117.0559999999996</v>
      </c>
      <c r="CA12">
        <v>3.54</v>
      </c>
    </row>
    <row r="13" spans="1:84" x14ac:dyDescent="0.35">
      <c r="A13" t="s">
        <v>151</v>
      </c>
      <c r="B13" t="str">
        <f t="shared" si="0"/>
        <v xml:space="preserve"> am_or_2005_07_19_155</v>
      </c>
      <c r="C13" s="1">
        <f t="shared" si="1"/>
        <v>45752</v>
      </c>
      <c r="D13" t="s">
        <v>78</v>
      </c>
      <c r="E13">
        <v>184.126</v>
      </c>
      <c r="F13">
        <v>185.072</v>
      </c>
      <c r="G13">
        <v>3.9159999999999999</v>
      </c>
      <c r="H13">
        <v>173.524</v>
      </c>
      <c r="I13">
        <v>4.6969696969696967E-2</v>
      </c>
      <c r="J13">
        <v>199.80600000000001</v>
      </c>
      <c r="K13">
        <v>0.98484848484848486</v>
      </c>
      <c r="L13">
        <v>0.46</v>
      </c>
      <c r="M13">
        <v>-26.962</v>
      </c>
      <c r="N13">
        <v>349.779</v>
      </c>
      <c r="O13">
        <v>348.61700000000002</v>
      </c>
      <c r="P13">
        <v>10.064</v>
      </c>
      <c r="Q13">
        <v>305.04000000000002</v>
      </c>
      <c r="R13">
        <v>392.19400000000002</v>
      </c>
      <c r="S13">
        <v>2479.5889999999999</v>
      </c>
      <c r="T13">
        <v>2483.893</v>
      </c>
      <c r="U13">
        <v>70.47</v>
      </c>
      <c r="V13">
        <v>2004.5450000000001</v>
      </c>
      <c r="W13">
        <v>2527.4699999999998</v>
      </c>
      <c r="X13">
        <v>3451.817</v>
      </c>
      <c r="Y13">
        <v>3442.5889999999999</v>
      </c>
      <c r="Z13">
        <v>149.767</v>
      </c>
      <c r="AA13">
        <v>2963.241</v>
      </c>
      <c r="AB13">
        <v>3921.9369999999999</v>
      </c>
      <c r="AC13">
        <v>1.98</v>
      </c>
      <c r="AD13">
        <v>185.791</v>
      </c>
      <c r="AE13">
        <v>185.57300000000001</v>
      </c>
      <c r="AF13">
        <v>1.6659999999999999</v>
      </c>
      <c r="AG13">
        <v>182.55500000000001</v>
      </c>
      <c r="AH13">
        <v>6.7647058823529421E-2</v>
      </c>
      <c r="AI13">
        <v>196</v>
      </c>
      <c r="AJ13">
        <v>0.98647058823529421</v>
      </c>
      <c r="AK13">
        <v>0.36399999999999999</v>
      </c>
      <c r="AL13">
        <v>-27.395</v>
      </c>
      <c r="AM13">
        <v>353.15300000000002</v>
      </c>
      <c r="AN13">
        <v>353.15300000000002</v>
      </c>
      <c r="AO13">
        <v>0</v>
      </c>
      <c r="AP13">
        <v>353.15300000000002</v>
      </c>
      <c r="AQ13">
        <v>353.15300000000002</v>
      </c>
      <c r="AR13">
        <v>2330.0949999999998</v>
      </c>
      <c r="AS13">
        <v>2339.64</v>
      </c>
      <c r="AT13">
        <v>88.37</v>
      </c>
      <c r="AU13">
        <v>1986.4860000000001</v>
      </c>
      <c r="AV13">
        <v>2472.0720000000001</v>
      </c>
      <c r="AW13">
        <v>3662.7710000000002</v>
      </c>
      <c r="AX13">
        <v>3663.9639999999999</v>
      </c>
      <c r="AY13">
        <v>168.05199999999999</v>
      </c>
      <c r="AZ13">
        <v>3090.09</v>
      </c>
      <c r="BA13">
        <v>4105.4049999999997</v>
      </c>
      <c r="BB13">
        <v>1.7</v>
      </c>
      <c r="BC13">
        <v>188.565</v>
      </c>
      <c r="BD13">
        <v>185.62799999999999</v>
      </c>
      <c r="BE13">
        <v>16.736999999999998</v>
      </c>
      <c r="BF13">
        <v>180.738</v>
      </c>
      <c r="BG13">
        <v>0.16896551724137931</v>
      </c>
      <c r="BH13">
        <v>290.952</v>
      </c>
      <c r="BI13">
        <v>0</v>
      </c>
      <c r="BJ13">
        <v>0.94199999999999995</v>
      </c>
      <c r="BK13">
        <v>-27.036000000000001</v>
      </c>
      <c r="BL13">
        <v>358.90100000000001</v>
      </c>
      <c r="BM13">
        <v>358.90100000000001</v>
      </c>
      <c r="BN13">
        <v>7583</v>
      </c>
      <c r="BO13">
        <v>314.03899999999999</v>
      </c>
      <c r="BP13">
        <v>403.76400000000001</v>
      </c>
      <c r="BQ13">
        <v>2357.982</v>
      </c>
      <c r="BR13">
        <v>2332.8589999999999</v>
      </c>
      <c r="BS13">
        <v>60.926000000000002</v>
      </c>
      <c r="BT13">
        <v>2153.4079999999999</v>
      </c>
      <c r="BU13">
        <v>2467.4470000000001</v>
      </c>
      <c r="BV13">
        <v>3583.1869999999999</v>
      </c>
      <c r="BW13">
        <v>3589.0129999999999</v>
      </c>
      <c r="BX13">
        <v>188.005</v>
      </c>
      <c r="BY13">
        <v>2646.8969999999999</v>
      </c>
      <c r="BZ13">
        <v>4127.3649999999998</v>
      </c>
      <c r="CA13">
        <v>1.74</v>
      </c>
      <c r="CB13">
        <v>4</v>
      </c>
      <c r="CC13">
        <v>0</v>
      </c>
      <c r="CD13">
        <v>4</v>
      </c>
      <c r="CE13">
        <v>0</v>
      </c>
      <c r="CF13">
        <v>0</v>
      </c>
    </row>
    <row r="14" spans="1:84" x14ac:dyDescent="0.35">
      <c r="A14" t="s">
        <v>97</v>
      </c>
      <c r="B14" t="str">
        <f t="shared" si="0"/>
        <v xml:space="preserve"> an_ba_2001_12_27_169</v>
      </c>
      <c r="C14" s="1">
        <f t="shared" si="1"/>
        <v>45749</v>
      </c>
      <c r="D14" t="s">
        <v>78</v>
      </c>
      <c r="E14">
        <v>198.27799999999999</v>
      </c>
      <c r="F14">
        <v>197.631</v>
      </c>
      <c r="G14">
        <v>5.0910000000000002</v>
      </c>
      <c r="H14">
        <v>186.864</v>
      </c>
      <c r="I14">
        <v>0.98807947019867548</v>
      </c>
      <c r="J14">
        <v>250.77199999999999</v>
      </c>
      <c r="K14">
        <v>0</v>
      </c>
      <c r="L14">
        <v>0.52200000000000002</v>
      </c>
      <c r="M14">
        <v>-21.164999999999999</v>
      </c>
      <c r="N14">
        <v>808.52200000000005</v>
      </c>
      <c r="O14">
        <v>814.89099999999996</v>
      </c>
      <c r="P14">
        <v>77.216999999999999</v>
      </c>
      <c r="Q14">
        <v>383.47800000000001</v>
      </c>
      <c r="R14">
        <v>1006.63</v>
      </c>
      <c r="S14">
        <v>1213.454</v>
      </c>
      <c r="T14">
        <v>1198.3699999999999</v>
      </c>
      <c r="U14">
        <v>67.412000000000006</v>
      </c>
      <c r="V14">
        <v>1006.63</v>
      </c>
      <c r="W14">
        <v>1533.913</v>
      </c>
      <c r="X14">
        <v>3196.5459999999998</v>
      </c>
      <c r="Y14">
        <v>3211.63</v>
      </c>
      <c r="Z14">
        <v>109.636</v>
      </c>
      <c r="AA14">
        <v>2924.0219999999999</v>
      </c>
      <c r="AB14">
        <v>3547.174</v>
      </c>
      <c r="AC14">
        <v>3.02</v>
      </c>
      <c r="AD14">
        <v>201.065</v>
      </c>
      <c r="AE14">
        <v>200.715</v>
      </c>
      <c r="AF14">
        <v>3.1669999999999998</v>
      </c>
      <c r="AG14">
        <v>194.64099999999999</v>
      </c>
      <c r="AH14">
        <v>0.80950413223140505</v>
      </c>
      <c r="AI14">
        <v>217.70099999999999</v>
      </c>
      <c r="AJ14">
        <v>8.2644628099173556E-3</v>
      </c>
      <c r="AK14">
        <v>0.56000000000000005</v>
      </c>
      <c r="AL14">
        <v>-22.143000000000001</v>
      </c>
      <c r="AM14">
        <v>338.48700000000002</v>
      </c>
      <c r="AN14">
        <v>338.48700000000002</v>
      </c>
      <c r="AO14">
        <v>0</v>
      </c>
      <c r="AP14">
        <v>338.48700000000002</v>
      </c>
      <c r="AQ14">
        <v>338.48700000000002</v>
      </c>
      <c r="AR14">
        <v>1922.1220000000001</v>
      </c>
      <c r="AS14">
        <v>1958.3879999999999</v>
      </c>
      <c r="AT14">
        <v>260.02699999999999</v>
      </c>
      <c r="AU14">
        <v>1595.7239999999999</v>
      </c>
      <c r="AV14">
        <v>2175.9870000000001</v>
      </c>
      <c r="AW14">
        <v>3812.9789999999998</v>
      </c>
      <c r="AX14">
        <v>3820.0659999999998</v>
      </c>
      <c r="AY14">
        <v>88.188999999999993</v>
      </c>
      <c r="AZ14">
        <v>3578.2890000000002</v>
      </c>
      <c r="BA14">
        <v>4206.9080000000004</v>
      </c>
      <c r="BB14">
        <v>2.42</v>
      </c>
      <c r="BC14">
        <v>201.489</v>
      </c>
      <c r="BD14">
        <v>201.37</v>
      </c>
      <c r="BE14">
        <v>3.302</v>
      </c>
      <c r="BF14">
        <v>196.624</v>
      </c>
      <c r="BG14">
        <v>0.76652892561983477</v>
      </c>
      <c r="BH14">
        <v>227.32</v>
      </c>
      <c r="BI14">
        <v>8.2644628099173556E-3</v>
      </c>
      <c r="BJ14">
        <v>0.39500000000000002</v>
      </c>
      <c r="BK14">
        <v>-26.32</v>
      </c>
      <c r="BL14">
        <v>403.93299999999999</v>
      </c>
      <c r="BM14">
        <v>386.84199999999998</v>
      </c>
      <c r="BN14">
        <v>24.905999999999999</v>
      </c>
      <c r="BO14">
        <v>338.48700000000002</v>
      </c>
      <c r="BP14">
        <v>435.197</v>
      </c>
      <c r="BQ14">
        <v>1008.553</v>
      </c>
      <c r="BR14">
        <v>967.10500000000002</v>
      </c>
      <c r="BS14">
        <v>90.156000000000006</v>
      </c>
      <c r="BT14">
        <v>967.10500000000002</v>
      </c>
      <c r="BU14">
        <v>1208.8820000000001</v>
      </c>
      <c r="BV14">
        <v>3383.201</v>
      </c>
      <c r="BW14">
        <v>3384.8679999999999</v>
      </c>
      <c r="BX14">
        <v>128.47999999999999</v>
      </c>
      <c r="BY14">
        <v>2949.6709999999998</v>
      </c>
      <c r="BZ14">
        <v>3868.4209999999998</v>
      </c>
      <c r="CA14">
        <v>2.42</v>
      </c>
      <c r="CB14">
        <v>4</v>
      </c>
      <c r="CC14">
        <v>3</v>
      </c>
      <c r="CD14">
        <v>2</v>
      </c>
      <c r="CE14">
        <v>3</v>
      </c>
      <c r="CF14">
        <v>1</v>
      </c>
    </row>
    <row r="15" spans="1:84" x14ac:dyDescent="0.35">
      <c r="A15" t="s">
        <v>111</v>
      </c>
      <c r="B15" t="str">
        <f t="shared" si="0"/>
        <v xml:space="preserve"> an_ca_2002_02_24_956</v>
      </c>
      <c r="C15" s="1">
        <f t="shared" si="1"/>
        <v>45750</v>
      </c>
      <c r="D15" t="s">
        <v>78</v>
      </c>
      <c r="E15">
        <v>198.636</v>
      </c>
      <c r="F15">
        <v>197.44200000000001</v>
      </c>
      <c r="G15">
        <v>15.657</v>
      </c>
      <c r="H15">
        <v>160.94900000000001</v>
      </c>
      <c r="I15">
        <v>0.96027397260273972</v>
      </c>
      <c r="J15">
        <v>221.44900000000001</v>
      </c>
      <c r="K15">
        <v>0.10205479452054794</v>
      </c>
      <c r="L15">
        <v>0.79400000000000004</v>
      </c>
      <c r="M15">
        <v>-23.280999999999999</v>
      </c>
      <c r="N15">
        <v>720.25</v>
      </c>
      <c r="O15">
        <v>716.68499999999995</v>
      </c>
      <c r="P15">
        <v>60.728999999999999</v>
      </c>
      <c r="Q15">
        <v>430.01100000000002</v>
      </c>
      <c r="R15">
        <v>812.24300000000005</v>
      </c>
      <c r="S15">
        <v>1134.751</v>
      </c>
      <c r="T15">
        <v>1098.9169999999999</v>
      </c>
      <c r="U15">
        <v>106.47799999999999</v>
      </c>
      <c r="V15">
        <v>1003.359</v>
      </c>
      <c r="W15">
        <v>1815.6010000000001</v>
      </c>
      <c r="X15">
        <v>2925.0569999999998</v>
      </c>
      <c r="Y15">
        <v>2723.402</v>
      </c>
      <c r="Z15">
        <v>519.26499999999999</v>
      </c>
      <c r="AA15">
        <v>2388.9490000000001</v>
      </c>
      <c r="AB15">
        <v>4921.2349999999997</v>
      </c>
      <c r="AC15">
        <v>1.46</v>
      </c>
      <c r="AD15">
        <v>204.328</v>
      </c>
      <c r="AE15">
        <v>207.46</v>
      </c>
      <c r="AF15">
        <v>19.065000000000001</v>
      </c>
      <c r="AG15">
        <v>154.73699999999999</v>
      </c>
      <c r="AH15">
        <v>0.97539682539682548</v>
      </c>
      <c r="AI15">
        <v>225.988</v>
      </c>
      <c r="AJ15">
        <v>3.2539682539682542E-2</v>
      </c>
      <c r="AK15">
        <v>1.0409999999999999</v>
      </c>
      <c r="AL15">
        <v>-30.51</v>
      </c>
      <c r="AM15">
        <v>322.16699999999997</v>
      </c>
      <c r="AN15">
        <v>297.97300000000001</v>
      </c>
      <c r="AO15">
        <v>52.051000000000002</v>
      </c>
      <c r="AP15">
        <v>297.97300000000001</v>
      </c>
      <c r="AQ15">
        <v>595.94600000000003</v>
      </c>
      <c r="AR15">
        <v>2407.3939999999998</v>
      </c>
      <c r="AS15">
        <v>2383.7840000000001</v>
      </c>
      <c r="AT15">
        <v>95.358000000000004</v>
      </c>
      <c r="AU15">
        <v>2234.797</v>
      </c>
      <c r="AV15">
        <v>2582.4319999999998</v>
      </c>
      <c r="AW15">
        <v>3175.1219999999998</v>
      </c>
      <c r="AX15">
        <v>3228.0410000000002</v>
      </c>
      <c r="AY15">
        <v>287.13600000000002</v>
      </c>
      <c r="AZ15">
        <v>2681.7570000000001</v>
      </c>
      <c r="BA15">
        <v>4320.6080000000002</v>
      </c>
      <c r="BB15">
        <v>1.26</v>
      </c>
      <c r="BC15">
        <v>206.44</v>
      </c>
      <c r="BD15">
        <v>203.09299999999999</v>
      </c>
      <c r="BE15">
        <v>16.806000000000001</v>
      </c>
      <c r="BF15">
        <v>164.55199999999999</v>
      </c>
      <c r="BG15">
        <v>0.94296875000000002</v>
      </c>
      <c r="BH15">
        <v>230.20099999999999</v>
      </c>
      <c r="BI15">
        <v>1.5625E-2</v>
      </c>
      <c r="BJ15">
        <v>0.82299999999999995</v>
      </c>
      <c r="BK15">
        <v>-30.3</v>
      </c>
      <c r="BL15">
        <v>363.904</v>
      </c>
      <c r="BM15">
        <v>347.63499999999999</v>
      </c>
      <c r="BN15">
        <v>32.741999999999997</v>
      </c>
      <c r="BO15">
        <v>297.97300000000001</v>
      </c>
      <c r="BP15">
        <v>496.62200000000001</v>
      </c>
      <c r="BQ15">
        <v>1069.4490000000001</v>
      </c>
      <c r="BR15">
        <v>1042.905</v>
      </c>
      <c r="BS15">
        <v>188.642</v>
      </c>
      <c r="BT15">
        <v>993.24300000000005</v>
      </c>
      <c r="BU15">
        <v>2234.797</v>
      </c>
      <c r="BV15">
        <v>3134.3229999999999</v>
      </c>
      <c r="BW15">
        <v>3153.547</v>
      </c>
      <c r="BX15">
        <v>257.67700000000002</v>
      </c>
      <c r="BY15">
        <v>2731.4189999999999</v>
      </c>
      <c r="BZ15">
        <v>3873.6489999999999</v>
      </c>
      <c r="CA15">
        <v>1.28</v>
      </c>
    </row>
    <row r="16" spans="1:84" x14ac:dyDescent="0.35">
      <c r="A16" t="s">
        <v>98</v>
      </c>
      <c r="B16" t="str">
        <f t="shared" si="0"/>
        <v xml:space="preserve"> an_pu_2004_12_28_073</v>
      </c>
      <c r="C16" s="1">
        <f t="shared" si="1"/>
        <v>45749</v>
      </c>
      <c r="D16" t="s">
        <v>78</v>
      </c>
      <c r="E16">
        <v>203.125</v>
      </c>
      <c r="F16">
        <v>211.874</v>
      </c>
      <c r="G16">
        <v>32.671999999999997</v>
      </c>
      <c r="H16">
        <v>90</v>
      </c>
      <c r="I16">
        <v>0.90115606936416182</v>
      </c>
      <c r="J16">
        <v>272.94400000000002</v>
      </c>
      <c r="K16">
        <v>6.0693641618497114E-3</v>
      </c>
      <c r="L16">
        <v>8.5370000000000008</v>
      </c>
      <c r="M16">
        <v>-21.15</v>
      </c>
      <c r="N16">
        <v>497.15499999999997</v>
      </c>
      <c r="O16">
        <v>480.916</v>
      </c>
      <c r="P16">
        <v>83.97</v>
      </c>
      <c r="Q16">
        <v>288.55</v>
      </c>
      <c r="R16">
        <v>913.74</v>
      </c>
      <c r="S16">
        <v>1353.261</v>
      </c>
      <c r="T16">
        <v>1346.5650000000001</v>
      </c>
      <c r="U16">
        <v>110.63800000000001</v>
      </c>
      <c r="V16">
        <v>1154.1980000000001</v>
      </c>
      <c r="W16">
        <v>1923.664</v>
      </c>
      <c r="X16">
        <v>2577.127</v>
      </c>
      <c r="Y16">
        <v>2500.7629999999999</v>
      </c>
      <c r="Z16">
        <v>182.2</v>
      </c>
      <c r="AA16">
        <v>2308.3969999999999</v>
      </c>
      <c r="AB16">
        <v>3558.779</v>
      </c>
      <c r="AC16">
        <v>3.46</v>
      </c>
      <c r="AD16">
        <v>177.88399999999999</v>
      </c>
      <c r="AE16">
        <v>212.45699999999999</v>
      </c>
      <c r="AF16">
        <v>55.948999999999998</v>
      </c>
      <c r="AG16">
        <v>90.847999999999999</v>
      </c>
      <c r="AH16">
        <v>0.95191082802547766</v>
      </c>
      <c r="AI16">
        <v>277.358</v>
      </c>
      <c r="AJ16">
        <v>0.91178343949044582</v>
      </c>
      <c r="AK16">
        <v>13.997999999999999</v>
      </c>
      <c r="AL16">
        <v>-18.995999999999999</v>
      </c>
      <c r="AM16">
        <v>375.51100000000002</v>
      </c>
      <c r="AN16">
        <v>320.43599999999998</v>
      </c>
      <c r="AO16">
        <v>145.05099999999999</v>
      </c>
      <c r="AP16">
        <v>280.38099999999997</v>
      </c>
      <c r="AQ16">
        <v>881.19899999999996</v>
      </c>
      <c r="AR16">
        <v>2300.7159999999999</v>
      </c>
      <c r="AS16">
        <v>2443.3240000000001</v>
      </c>
      <c r="AT16">
        <v>378.89800000000002</v>
      </c>
      <c r="AU16">
        <v>1041.4169999999999</v>
      </c>
      <c r="AV16">
        <v>2563.4879999999998</v>
      </c>
      <c r="AW16">
        <v>3188.0169999999998</v>
      </c>
      <c r="AX16">
        <v>3204.36</v>
      </c>
      <c r="AY16">
        <v>241.72800000000001</v>
      </c>
      <c r="AZ16">
        <v>2323.1610000000001</v>
      </c>
      <c r="BA16">
        <v>3685.0140000000001</v>
      </c>
      <c r="BB16">
        <v>3.14</v>
      </c>
      <c r="BC16">
        <v>178.245</v>
      </c>
      <c r="BD16">
        <v>215.72300000000001</v>
      </c>
      <c r="BE16">
        <v>58.536999999999999</v>
      </c>
      <c r="BF16">
        <v>106.44799999999999</v>
      </c>
      <c r="BG16">
        <v>0.85399999999999998</v>
      </c>
      <c r="BH16">
        <v>302.05500000000001</v>
      </c>
      <c r="BI16">
        <v>0.72000000000000008</v>
      </c>
      <c r="BJ16">
        <v>10.276</v>
      </c>
      <c r="BK16">
        <v>-22.920999999999999</v>
      </c>
      <c r="BL16">
        <v>321.31099999999998</v>
      </c>
      <c r="BM16">
        <v>321.31099999999998</v>
      </c>
      <c r="BN16">
        <v>43.417000000000002</v>
      </c>
      <c r="BO16">
        <v>240.98400000000001</v>
      </c>
      <c r="BP16">
        <v>682.78700000000003</v>
      </c>
      <c r="BQ16">
        <v>1070.7860000000001</v>
      </c>
      <c r="BR16">
        <v>1044.2619999999999</v>
      </c>
      <c r="BS16">
        <v>95.35</v>
      </c>
      <c r="BT16">
        <v>963.93399999999997</v>
      </c>
      <c r="BU16">
        <v>1767.213</v>
      </c>
      <c r="BV16">
        <v>3638.38</v>
      </c>
      <c r="BW16">
        <v>3735.2460000000001</v>
      </c>
      <c r="BX16">
        <v>484.553</v>
      </c>
      <c r="BY16">
        <v>2530.328</v>
      </c>
      <c r="BZ16">
        <v>4498.3609999999999</v>
      </c>
      <c r="CA16">
        <v>3</v>
      </c>
      <c r="CB16">
        <v>6</v>
      </c>
      <c r="CC16">
        <v>2</v>
      </c>
      <c r="CD16">
        <v>0</v>
      </c>
      <c r="CE16">
        <v>3</v>
      </c>
      <c r="CF16">
        <v>2</v>
      </c>
    </row>
    <row r="17" spans="1:84" x14ac:dyDescent="0.35">
      <c r="A17" t="s">
        <v>152</v>
      </c>
      <c r="B17" t="str">
        <f t="shared" si="0"/>
        <v xml:space="preserve"> an_ra_2004_06_07_770</v>
      </c>
      <c r="C17" s="1">
        <f t="shared" si="1"/>
        <v>45752</v>
      </c>
      <c r="D17" t="s">
        <v>78</v>
      </c>
      <c r="E17">
        <v>181.23400000000001</v>
      </c>
      <c r="F17">
        <v>180.95</v>
      </c>
      <c r="G17">
        <v>2.1160000000000001</v>
      </c>
      <c r="H17">
        <v>169.80199999999999</v>
      </c>
      <c r="I17">
        <v>0</v>
      </c>
      <c r="J17">
        <v>193.542</v>
      </c>
      <c r="K17">
        <v>8.5820895522388061E-3</v>
      </c>
      <c r="L17">
        <v>0.39100000000000001</v>
      </c>
      <c r="M17">
        <v>-22.135999999999999</v>
      </c>
      <c r="N17">
        <v>785.74900000000002</v>
      </c>
      <c r="O17">
        <v>773.68399999999997</v>
      </c>
      <c r="P17">
        <v>58.457999999999998</v>
      </c>
      <c r="Q17">
        <v>515.78899999999999</v>
      </c>
      <c r="R17">
        <v>1031.579</v>
      </c>
      <c r="S17">
        <v>1114.528</v>
      </c>
      <c r="T17">
        <v>1117.5440000000001</v>
      </c>
      <c r="U17">
        <v>38.24</v>
      </c>
      <c r="V17">
        <v>1031.579</v>
      </c>
      <c r="W17">
        <v>1418.421</v>
      </c>
      <c r="X17">
        <v>2804.7939999999999</v>
      </c>
      <c r="Y17">
        <v>2750.877</v>
      </c>
      <c r="Z17">
        <v>252.76</v>
      </c>
      <c r="AA17">
        <v>2235.0880000000002</v>
      </c>
      <c r="AB17">
        <v>3438.596</v>
      </c>
      <c r="AC17">
        <v>2.68</v>
      </c>
      <c r="AD17">
        <v>186.279</v>
      </c>
      <c r="AE17">
        <v>180.52600000000001</v>
      </c>
      <c r="AF17">
        <v>27.609000000000002</v>
      </c>
      <c r="AG17">
        <v>175</v>
      </c>
      <c r="AH17">
        <v>0.88988095238095244</v>
      </c>
      <c r="AI17">
        <v>350</v>
      </c>
      <c r="AJ17">
        <v>0.97202380952380951</v>
      </c>
      <c r="AK17">
        <v>0.73299999999999998</v>
      </c>
      <c r="AL17">
        <v>-28.707999999999998</v>
      </c>
      <c r="AM17">
        <v>350.654</v>
      </c>
      <c r="AN17">
        <v>350.34800000000001</v>
      </c>
      <c r="AO17">
        <v>6358</v>
      </c>
      <c r="AP17">
        <v>306.55399999999997</v>
      </c>
      <c r="AQ17">
        <v>394.14100000000002</v>
      </c>
      <c r="AR17">
        <v>1628.0509999999999</v>
      </c>
      <c r="AS17">
        <v>1576.5640000000001</v>
      </c>
      <c r="AT17">
        <v>141.92699999999999</v>
      </c>
      <c r="AU17">
        <v>1488.9770000000001</v>
      </c>
      <c r="AV17">
        <v>2277.259</v>
      </c>
      <c r="AW17">
        <v>3754.538</v>
      </c>
      <c r="AX17">
        <v>3788.1329999999998</v>
      </c>
      <c r="AY17">
        <v>213.26300000000001</v>
      </c>
      <c r="AZ17">
        <v>2802.7809999999999</v>
      </c>
      <c r="BA17">
        <v>4379.3450000000003</v>
      </c>
      <c r="BB17">
        <v>3.36</v>
      </c>
      <c r="BC17">
        <v>185.93799999999999</v>
      </c>
      <c r="BD17">
        <v>184.29900000000001</v>
      </c>
      <c r="BE17">
        <v>19.004000000000001</v>
      </c>
      <c r="BF17">
        <v>104.502</v>
      </c>
      <c r="BG17">
        <v>0.97882352941176465</v>
      </c>
      <c r="BH17">
        <v>361.47500000000002</v>
      </c>
      <c r="BI17">
        <v>0.99235294117647066</v>
      </c>
      <c r="BJ17">
        <v>2.101</v>
      </c>
      <c r="BK17">
        <v>-25.821000000000002</v>
      </c>
      <c r="BL17">
        <v>356.08499999999998</v>
      </c>
      <c r="BM17">
        <v>351.04500000000002</v>
      </c>
      <c r="BN17">
        <v>43.286999999999999</v>
      </c>
      <c r="BO17">
        <v>351.04500000000002</v>
      </c>
      <c r="BP17">
        <v>745.97</v>
      </c>
      <c r="BQ17">
        <v>1168.979</v>
      </c>
      <c r="BR17">
        <v>1097.0150000000001</v>
      </c>
      <c r="BS17">
        <v>162.16</v>
      </c>
      <c r="BT17">
        <v>1053.134</v>
      </c>
      <c r="BU17">
        <v>1755.2239999999999</v>
      </c>
      <c r="BV17">
        <v>2768.0349999999999</v>
      </c>
      <c r="BW17">
        <v>2632.8359999999998</v>
      </c>
      <c r="BX17">
        <v>377.59699999999998</v>
      </c>
      <c r="BY17">
        <v>2325.672</v>
      </c>
      <c r="BZ17">
        <v>3993.134</v>
      </c>
      <c r="CA17">
        <v>3.4</v>
      </c>
      <c r="CB17">
        <v>5</v>
      </c>
      <c r="CC17">
        <v>6</v>
      </c>
      <c r="CD17">
        <v>3</v>
      </c>
      <c r="CE17">
        <v>4</v>
      </c>
      <c r="CF17">
        <v>2</v>
      </c>
    </row>
    <row r="18" spans="1:84" x14ac:dyDescent="0.35">
      <c r="A18" t="s">
        <v>99</v>
      </c>
      <c r="B18" t="str">
        <f t="shared" si="0"/>
        <v xml:space="preserve"> ar_br_2001_08_21_449</v>
      </c>
      <c r="C18" s="1">
        <f t="shared" si="1"/>
        <v>45749</v>
      </c>
      <c r="D18" t="s">
        <v>78</v>
      </c>
      <c r="E18">
        <v>177.673</v>
      </c>
      <c r="F18">
        <v>173.232</v>
      </c>
      <c r="G18">
        <v>22.047999999999998</v>
      </c>
      <c r="H18">
        <v>171.215</v>
      </c>
      <c r="I18">
        <v>0.94224137931034491</v>
      </c>
      <c r="J18">
        <v>347.24400000000003</v>
      </c>
      <c r="K18">
        <v>0</v>
      </c>
      <c r="L18">
        <v>1.016</v>
      </c>
      <c r="M18">
        <v>-23.879000000000001</v>
      </c>
      <c r="N18">
        <v>737.12599999999998</v>
      </c>
      <c r="O18">
        <v>722.95100000000002</v>
      </c>
      <c r="P18">
        <v>73.959000000000003</v>
      </c>
      <c r="Q18">
        <v>510.31799999999998</v>
      </c>
      <c r="R18">
        <v>1148.2159999999999</v>
      </c>
      <c r="S18">
        <v>1137.1590000000001</v>
      </c>
      <c r="T18">
        <v>1105.6890000000001</v>
      </c>
      <c r="U18">
        <v>84.534999999999997</v>
      </c>
      <c r="V18">
        <v>1020.636</v>
      </c>
      <c r="W18">
        <v>1488.4280000000001</v>
      </c>
      <c r="X18">
        <v>3093.9140000000002</v>
      </c>
      <c r="Y18">
        <v>3019.3829999999998</v>
      </c>
      <c r="Z18">
        <v>230.08199999999999</v>
      </c>
      <c r="AA18">
        <v>2764.2240000000002</v>
      </c>
      <c r="AB18">
        <v>3954.9659999999999</v>
      </c>
      <c r="AC18">
        <v>2.3199999999999998</v>
      </c>
      <c r="AD18">
        <v>194.97399999999999</v>
      </c>
      <c r="AE18">
        <v>175.89699999999999</v>
      </c>
      <c r="AF18">
        <v>53.02</v>
      </c>
      <c r="AG18">
        <v>169.05799999999999</v>
      </c>
      <c r="AH18">
        <v>0.98146853146853152</v>
      </c>
      <c r="AI18">
        <v>361.47500000000002</v>
      </c>
      <c r="AJ18">
        <v>0.17902097902097902</v>
      </c>
      <c r="AK18">
        <v>3.0680000000000001</v>
      </c>
      <c r="AL18">
        <v>-26.158999999999999</v>
      </c>
      <c r="AM18">
        <v>349.84699999999998</v>
      </c>
      <c r="AN18">
        <v>344.14699999999999</v>
      </c>
      <c r="AO18">
        <v>40.32</v>
      </c>
      <c r="AP18">
        <v>294.983</v>
      </c>
      <c r="AQ18">
        <v>737.45799999999997</v>
      </c>
      <c r="AR18">
        <v>2255.797</v>
      </c>
      <c r="AS18">
        <v>2310.7020000000002</v>
      </c>
      <c r="AT18">
        <v>214.38900000000001</v>
      </c>
      <c r="AU18">
        <v>1425.7529999999999</v>
      </c>
      <c r="AV18">
        <v>2507.3580000000002</v>
      </c>
      <c r="AW18">
        <v>3337.4850000000001</v>
      </c>
      <c r="AX18">
        <v>3343.1439999999998</v>
      </c>
      <c r="AY18">
        <v>191.244</v>
      </c>
      <c r="AZ18">
        <v>2458.194</v>
      </c>
      <c r="BA18">
        <v>3883.9459999999999</v>
      </c>
      <c r="BB18">
        <v>2.86</v>
      </c>
      <c r="BC18">
        <v>180.42400000000001</v>
      </c>
      <c r="BD18">
        <v>174.90100000000001</v>
      </c>
      <c r="BE18">
        <v>28.937999999999999</v>
      </c>
      <c r="BF18">
        <v>129.434</v>
      </c>
      <c r="BG18">
        <v>0</v>
      </c>
      <c r="BH18">
        <v>361.47500000000002</v>
      </c>
      <c r="BI18">
        <v>0.94395161290322593</v>
      </c>
      <c r="BJ18">
        <v>3.1739999999999999</v>
      </c>
      <c r="BK18">
        <v>-29.439</v>
      </c>
      <c r="BL18">
        <v>356.81700000000001</v>
      </c>
      <c r="BM18">
        <v>348.27199999999999</v>
      </c>
      <c r="BN18">
        <v>47.252000000000002</v>
      </c>
      <c r="BO18">
        <v>348.27199999999999</v>
      </c>
      <c r="BP18">
        <v>740.07899999999995</v>
      </c>
      <c r="BQ18">
        <v>1027.9369999999999</v>
      </c>
      <c r="BR18">
        <v>1001.283</v>
      </c>
      <c r="BS18">
        <v>113.149</v>
      </c>
      <c r="BT18">
        <v>957.74900000000002</v>
      </c>
      <c r="BU18">
        <v>1697.828</v>
      </c>
      <c r="BV18">
        <v>3145.4369999999999</v>
      </c>
      <c r="BW18">
        <v>3177.9859999999999</v>
      </c>
      <c r="BX18">
        <v>245.327</v>
      </c>
      <c r="BY18">
        <v>2481.4409999999998</v>
      </c>
      <c r="BZ18">
        <v>3700.395</v>
      </c>
      <c r="CA18">
        <v>2.48</v>
      </c>
      <c r="CB18">
        <v>4</v>
      </c>
      <c r="CC18">
        <v>1</v>
      </c>
      <c r="CD18">
        <v>0</v>
      </c>
      <c r="CE18">
        <v>1</v>
      </c>
      <c r="CF18">
        <v>0</v>
      </c>
    </row>
    <row r="19" spans="1:84" x14ac:dyDescent="0.35">
      <c r="A19" t="s">
        <v>135</v>
      </c>
      <c r="B19" t="str">
        <f t="shared" si="0"/>
        <v xml:space="preserve"> ar_se_2005_06_30_070</v>
      </c>
      <c r="C19" s="1">
        <f t="shared" si="1"/>
        <v>45751</v>
      </c>
      <c r="D19" t="s">
        <v>78</v>
      </c>
      <c r="E19">
        <v>187.749</v>
      </c>
      <c r="F19">
        <v>187.43199999999999</v>
      </c>
      <c r="G19">
        <v>2.3919999999999999</v>
      </c>
      <c r="H19">
        <v>184.51900000000001</v>
      </c>
      <c r="I19">
        <v>0.3875912408759124</v>
      </c>
      <c r="J19">
        <v>206.07499999999999</v>
      </c>
      <c r="K19">
        <v>0</v>
      </c>
      <c r="L19">
        <v>0.33300000000000002</v>
      </c>
      <c r="M19">
        <v>-24.771999999999998</v>
      </c>
      <c r="N19">
        <v>682.774</v>
      </c>
      <c r="O19">
        <v>669.53399999999999</v>
      </c>
      <c r="P19">
        <v>67.884</v>
      </c>
      <c r="Q19">
        <v>446.35599999999999</v>
      </c>
      <c r="R19">
        <v>1160.5260000000001</v>
      </c>
      <c r="S19">
        <v>1251.6569999999999</v>
      </c>
      <c r="T19">
        <v>1249.798</v>
      </c>
      <c r="U19">
        <v>58.555</v>
      </c>
      <c r="V19">
        <v>1115.8910000000001</v>
      </c>
      <c r="W19">
        <v>1428.34</v>
      </c>
      <c r="X19">
        <v>2606.2040000000002</v>
      </c>
      <c r="Y19">
        <v>2633.502</v>
      </c>
      <c r="Z19">
        <v>104.42100000000001</v>
      </c>
      <c r="AA19">
        <v>2321.0529999999999</v>
      </c>
      <c r="AB19">
        <v>2856.68</v>
      </c>
      <c r="AC19">
        <v>2.74</v>
      </c>
      <c r="AD19">
        <v>194.77799999999999</v>
      </c>
      <c r="AE19">
        <v>191.501</v>
      </c>
      <c r="AF19">
        <v>8.9849999999999994</v>
      </c>
      <c r="AG19">
        <v>188.232</v>
      </c>
      <c r="AH19">
        <v>0.94963503649635028</v>
      </c>
      <c r="AI19">
        <v>266.35000000000002</v>
      </c>
      <c r="AJ19">
        <v>8.0291970802919693E-3</v>
      </c>
      <c r="AK19">
        <v>0.59399999999999997</v>
      </c>
      <c r="AL19">
        <v>-30.59</v>
      </c>
      <c r="AM19">
        <v>318.80599999999998</v>
      </c>
      <c r="AN19">
        <v>325.29000000000002</v>
      </c>
      <c r="AO19">
        <v>24.86</v>
      </c>
      <c r="AP19">
        <v>232.35</v>
      </c>
      <c r="AQ19">
        <v>418.23</v>
      </c>
      <c r="AR19">
        <v>2162.6410000000001</v>
      </c>
      <c r="AS19">
        <v>2230.558</v>
      </c>
      <c r="AT19">
        <v>220.51599999999999</v>
      </c>
      <c r="AU19">
        <v>1487.039</v>
      </c>
      <c r="AV19">
        <v>2509.3780000000002</v>
      </c>
      <c r="AW19">
        <v>3397.1019999999999</v>
      </c>
      <c r="AX19">
        <v>3392.308</v>
      </c>
      <c r="AY19">
        <v>176.61799999999999</v>
      </c>
      <c r="AZ19">
        <v>2555.848</v>
      </c>
      <c r="BA19">
        <v>3949.9470000000001</v>
      </c>
      <c r="BB19">
        <v>2.74</v>
      </c>
      <c r="BC19">
        <v>189.20400000000001</v>
      </c>
      <c r="BD19">
        <v>188.17500000000001</v>
      </c>
      <c r="BE19">
        <v>5.1020000000000003</v>
      </c>
      <c r="BF19">
        <v>182.017</v>
      </c>
      <c r="BG19">
        <v>0.95330578512396691</v>
      </c>
      <c r="BH19">
        <v>209.857</v>
      </c>
      <c r="BI19">
        <v>0</v>
      </c>
      <c r="BJ19">
        <v>0.45600000000000002</v>
      </c>
      <c r="BK19">
        <v>-30.867999999999999</v>
      </c>
      <c r="BL19">
        <v>377.30099999999999</v>
      </c>
      <c r="BM19">
        <v>375.601</v>
      </c>
      <c r="BN19">
        <v>27.484000000000002</v>
      </c>
      <c r="BO19">
        <v>353.50700000000001</v>
      </c>
      <c r="BP19">
        <v>530.26099999999997</v>
      </c>
      <c r="BQ19">
        <v>1025.0129999999999</v>
      </c>
      <c r="BR19">
        <v>1016.333</v>
      </c>
      <c r="BS19">
        <v>41.64</v>
      </c>
      <c r="BT19">
        <v>972.14400000000001</v>
      </c>
      <c r="BU19">
        <v>1193.086</v>
      </c>
      <c r="BV19">
        <v>3657.63</v>
      </c>
      <c r="BW19">
        <v>3711.8240000000001</v>
      </c>
      <c r="BX19">
        <v>235.51</v>
      </c>
      <c r="BY19">
        <v>2695.491</v>
      </c>
      <c r="BZ19">
        <v>4021.1419999999998</v>
      </c>
      <c r="CA19">
        <v>2.42</v>
      </c>
      <c r="CB19">
        <v>6</v>
      </c>
      <c r="CC19">
        <v>1</v>
      </c>
      <c r="CD19">
        <v>2</v>
      </c>
      <c r="CE19">
        <v>2</v>
      </c>
      <c r="CF19">
        <v>2</v>
      </c>
    </row>
    <row r="20" spans="1:84" x14ac:dyDescent="0.35">
      <c r="A20" t="s">
        <v>112</v>
      </c>
      <c r="B20" t="str">
        <f t="shared" si="0"/>
        <v xml:space="preserve"> as_gr_2000_07_17_648</v>
      </c>
      <c r="C20" s="1">
        <f t="shared" si="1"/>
        <v>45750</v>
      </c>
      <c r="D20" t="s">
        <v>78</v>
      </c>
      <c r="E20">
        <v>179.185</v>
      </c>
      <c r="F20">
        <v>186.07599999999999</v>
      </c>
      <c r="G20">
        <v>28.126999999999999</v>
      </c>
      <c r="H20">
        <v>90.105000000000004</v>
      </c>
      <c r="I20">
        <v>0.97812500000000002</v>
      </c>
      <c r="J20">
        <v>266.81099999999998</v>
      </c>
      <c r="K20">
        <v>6.8181818181818187E-3</v>
      </c>
      <c r="L20">
        <v>3.4620000000000002</v>
      </c>
      <c r="M20">
        <v>-21.42</v>
      </c>
      <c r="N20">
        <v>828.65300000000002</v>
      </c>
      <c r="O20">
        <v>884.52700000000004</v>
      </c>
      <c r="P20">
        <v>133.21100000000001</v>
      </c>
      <c r="Q20">
        <v>421.20299999999997</v>
      </c>
      <c r="R20">
        <v>1053.009</v>
      </c>
      <c r="S20">
        <v>1210.527</v>
      </c>
      <c r="T20">
        <v>1221.49</v>
      </c>
      <c r="U20">
        <v>59.372999999999998</v>
      </c>
      <c r="V20">
        <v>1053.009</v>
      </c>
      <c r="W20">
        <v>1516.3320000000001</v>
      </c>
      <c r="X20">
        <v>2788.5390000000002</v>
      </c>
      <c r="Y20">
        <v>2779.9430000000002</v>
      </c>
      <c r="Z20">
        <v>130.238</v>
      </c>
      <c r="AA20">
        <v>2527.221</v>
      </c>
      <c r="AB20">
        <v>3411.748</v>
      </c>
      <c r="AC20">
        <v>3.52</v>
      </c>
      <c r="AD20">
        <v>195.48099999999999</v>
      </c>
      <c r="AE20">
        <v>194.273</v>
      </c>
      <c r="AF20">
        <v>5.6630000000000003</v>
      </c>
      <c r="AG20">
        <v>186.97800000000001</v>
      </c>
      <c r="AH20">
        <v>0.973841059602649</v>
      </c>
      <c r="AI20">
        <v>237.827</v>
      </c>
      <c r="AJ20">
        <v>6.9536423841059609E-3</v>
      </c>
      <c r="AK20">
        <v>0.61499999999999999</v>
      </c>
      <c r="AL20">
        <v>-28.574000000000002</v>
      </c>
      <c r="AM20">
        <v>332.17099999999999</v>
      </c>
      <c r="AN20">
        <v>328.404</v>
      </c>
      <c r="AO20">
        <v>22.077000000000002</v>
      </c>
      <c r="AP20">
        <v>328.404</v>
      </c>
      <c r="AQ20">
        <v>562.97900000000004</v>
      </c>
      <c r="AR20">
        <v>2476.0259999999998</v>
      </c>
      <c r="AS20">
        <v>2486.489</v>
      </c>
      <c r="AT20">
        <v>105.215</v>
      </c>
      <c r="AU20">
        <v>1595.106</v>
      </c>
      <c r="AV20">
        <v>2533.404</v>
      </c>
      <c r="AW20">
        <v>3036.0639999999999</v>
      </c>
      <c r="AX20">
        <v>3049.4679999999998</v>
      </c>
      <c r="AY20">
        <v>130.80699999999999</v>
      </c>
      <c r="AZ20">
        <v>2814.8939999999998</v>
      </c>
      <c r="BA20">
        <v>3612.4470000000001</v>
      </c>
      <c r="BB20">
        <v>3.02</v>
      </c>
      <c r="BC20">
        <v>195.602</v>
      </c>
      <c r="BD20">
        <v>196.249</v>
      </c>
      <c r="BE20">
        <v>11.994</v>
      </c>
      <c r="BF20">
        <v>97.659000000000006</v>
      </c>
      <c r="BG20">
        <v>1</v>
      </c>
      <c r="BH20">
        <v>211.005</v>
      </c>
      <c r="BI20">
        <v>2.0901371652514697E-2</v>
      </c>
      <c r="BJ20">
        <v>1.18</v>
      </c>
      <c r="BK20">
        <v>-30.056000000000001</v>
      </c>
      <c r="BL20">
        <v>372.29899999999998</v>
      </c>
      <c r="BM20">
        <v>368.267</v>
      </c>
      <c r="BN20">
        <v>15.262</v>
      </c>
      <c r="BO20">
        <v>322.23399999999998</v>
      </c>
      <c r="BP20">
        <v>460.334</v>
      </c>
      <c r="BQ20">
        <v>1276.1120000000001</v>
      </c>
      <c r="BR20">
        <v>1242.902</v>
      </c>
      <c r="BS20">
        <v>173.57</v>
      </c>
      <c r="BT20">
        <v>1058.768</v>
      </c>
      <c r="BU20">
        <v>1795.3030000000001</v>
      </c>
      <c r="BV20">
        <v>2614.04</v>
      </c>
      <c r="BW20">
        <v>2577.8710000000001</v>
      </c>
      <c r="BX20">
        <v>161.53399999999999</v>
      </c>
      <c r="BY20">
        <v>2393.7370000000001</v>
      </c>
      <c r="BZ20">
        <v>3406.4720000000002</v>
      </c>
      <c r="CA20">
        <v>3.0619999999999998</v>
      </c>
      <c r="CB20">
        <v>3</v>
      </c>
      <c r="CC20">
        <v>0</v>
      </c>
      <c r="CD20">
        <v>1</v>
      </c>
      <c r="CE20">
        <v>0</v>
      </c>
      <c r="CF20">
        <v>0</v>
      </c>
    </row>
    <row r="21" spans="1:84" x14ac:dyDescent="0.35">
      <c r="A21" t="s">
        <v>113</v>
      </c>
      <c r="B21" t="str">
        <f t="shared" si="0"/>
        <v xml:space="preserve"> as_li_2005_04_26_447</v>
      </c>
      <c r="C21" s="1">
        <f t="shared" si="1"/>
        <v>45750</v>
      </c>
      <c r="D21" t="s">
        <v>78</v>
      </c>
      <c r="E21">
        <v>201.065</v>
      </c>
      <c r="F21">
        <v>199.161</v>
      </c>
      <c r="G21">
        <v>9.5890000000000004</v>
      </c>
      <c r="H21">
        <v>194.39500000000001</v>
      </c>
      <c r="I21">
        <v>0.14567567567567569</v>
      </c>
      <c r="J21">
        <v>298.26100000000002</v>
      </c>
      <c r="K21">
        <v>0</v>
      </c>
      <c r="L21">
        <v>0.63700000000000001</v>
      </c>
      <c r="M21">
        <v>-22.585999999999999</v>
      </c>
      <c r="N21">
        <v>556.89800000000002</v>
      </c>
      <c r="O21">
        <v>534.25099999999998</v>
      </c>
      <c r="P21">
        <v>108.19</v>
      </c>
      <c r="Q21">
        <v>388.54599999999999</v>
      </c>
      <c r="R21">
        <v>922.79700000000003</v>
      </c>
      <c r="S21">
        <v>1128.258</v>
      </c>
      <c r="T21">
        <v>1117.07</v>
      </c>
      <c r="U21">
        <v>78.259</v>
      </c>
      <c r="V21">
        <v>1019.934</v>
      </c>
      <c r="W21">
        <v>1359.912</v>
      </c>
      <c r="X21">
        <v>2665.5259999999998</v>
      </c>
      <c r="Y21">
        <v>2671.2559999999999</v>
      </c>
      <c r="Z21">
        <v>161.64099999999999</v>
      </c>
      <c r="AA21">
        <v>2137.0039999999999</v>
      </c>
      <c r="AB21">
        <v>3545.4850000000001</v>
      </c>
      <c r="AC21">
        <v>3.7</v>
      </c>
      <c r="AD21">
        <v>202.137</v>
      </c>
      <c r="AE21">
        <v>200.39</v>
      </c>
      <c r="AF21">
        <v>5.3209999999999997</v>
      </c>
      <c r="AG21">
        <v>197.001</v>
      </c>
      <c r="AH21">
        <v>0.61777108433734951</v>
      </c>
      <c r="AI21">
        <v>230.54499999999999</v>
      </c>
      <c r="AJ21">
        <v>6.024096385542169E-3</v>
      </c>
      <c r="AK21">
        <v>0.36799999999999999</v>
      </c>
      <c r="AL21">
        <v>-27.565000000000001</v>
      </c>
      <c r="AM21">
        <v>358.41300000000001</v>
      </c>
      <c r="AN21">
        <v>339.97800000000001</v>
      </c>
      <c r="AO21">
        <v>23.655999999999999</v>
      </c>
      <c r="AP21">
        <v>339.97800000000001</v>
      </c>
      <c r="AQ21">
        <v>388.54599999999999</v>
      </c>
      <c r="AR21">
        <v>1554.1849999999999</v>
      </c>
      <c r="AS21">
        <v>1554.1849999999999</v>
      </c>
      <c r="AT21">
        <v>68.686000000000007</v>
      </c>
      <c r="AU21">
        <v>1505.617</v>
      </c>
      <c r="AV21">
        <v>1602.7529999999999</v>
      </c>
      <c r="AW21">
        <v>3280.4839999999999</v>
      </c>
      <c r="AX21">
        <v>3302.643</v>
      </c>
      <c r="AY21">
        <v>117.44199999999999</v>
      </c>
      <c r="AZ21">
        <v>3011.2330000000002</v>
      </c>
      <c r="BA21">
        <v>3642.6210000000001</v>
      </c>
      <c r="BB21">
        <v>3.32</v>
      </c>
      <c r="BC21">
        <v>204.96700000000001</v>
      </c>
      <c r="BD21">
        <v>202.69200000000001</v>
      </c>
      <c r="BE21">
        <v>9.9670000000000005</v>
      </c>
      <c r="BF21">
        <v>198.26599999999999</v>
      </c>
      <c r="BG21">
        <v>0.99098360655737694</v>
      </c>
      <c r="BH21">
        <v>295.97300000000001</v>
      </c>
      <c r="BI21">
        <v>5.4644808743169399E-3</v>
      </c>
      <c r="BJ21">
        <v>0.54100000000000004</v>
      </c>
      <c r="BK21">
        <v>-27.898</v>
      </c>
      <c r="BL21">
        <v>354.11099999999999</v>
      </c>
      <c r="BM21">
        <v>345.30200000000002</v>
      </c>
      <c r="BN21">
        <v>22.466999999999999</v>
      </c>
      <c r="BO21">
        <v>295.97300000000001</v>
      </c>
      <c r="BP21">
        <v>493.28899999999999</v>
      </c>
      <c r="BQ21">
        <v>1228.0039999999999</v>
      </c>
      <c r="BR21">
        <v>1233.221</v>
      </c>
      <c r="BS21">
        <v>155.524</v>
      </c>
      <c r="BT21">
        <v>986.577</v>
      </c>
      <c r="BU21">
        <v>1726.51</v>
      </c>
      <c r="BV21">
        <v>2907.922</v>
      </c>
      <c r="BW21">
        <v>2910.4029999999998</v>
      </c>
      <c r="BX21">
        <v>192.85</v>
      </c>
      <c r="BY21">
        <v>2367.7849999999999</v>
      </c>
      <c r="BZ21">
        <v>3354.3620000000001</v>
      </c>
      <c r="CA21">
        <v>3.66</v>
      </c>
    </row>
    <row r="22" spans="1:84" x14ac:dyDescent="0.35">
      <c r="A22" t="s">
        <v>208</v>
      </c>
      <c r="B22" t="str">
        <f t="shared" si="0"/>
        <v xml:space="preserve"> as_ri_2004_07_30_783</v>
      </c>
      <c r="C22" s="1">
        <f t="shared" si="1"/>
        <v>45747</v>
      </c>
      <c r="D22" t="s">
        <v>78</v>
      </c>
      <c r="E22">
        <v>188.322</v>
      </c>
      <c r="F22">
        <v>183.53200000000001</v>
      </c>
      <c r="G22">
        <v>12.464</v>
      </c>
      <c r="H22">
        <v>180.738</v>
      </c>
      <c r="I22">
        <v>0.70119047619047614</v>
      </c>
      <c r="J22">
        <v>246.76300000000001</v>
      </c>
      <c r="K22">
        <v>0.97261904761904761</v>
      </c>
      <c r="L22">
        <v>1.714</v>
      </c>
      <c r="M22">
        <v>-22.446999999999999</v>
      </c>
      <c r="N22">
        <v>677.07299999999998</v>
      </c>
      <c r="O22">
        <v>677.07299999999998</v>
      </c>
      <c r="P22">
        <v>38.36</v>
      </c>
      <c r="Q22">
        <v>496.52</v>
      </c>
      <c r="R22">
        <v>722.21100000000001</v>
      </c>
      <c r="S22">
        <v>1043.82</v>
      </c>
      <c r="T22">
        <v>1038.1780000000001</v>
      </c>
      <c r="U22">
        <v>46.706000000000003</v>
      </c>
      <c r="V22">
        <v>993.04</v>
      </c>
      <c r="W22">
        <v>1218.731</v>
      </c>
      <c r="X22">
        <v>2809.547</v>
      </c>
      <c r="Y22">
        <v>2843.7049999999999</v>
      </c>
      <c r="Z22">
        <v>81.308000000000007</v>
      </c>
      <c r="AA22">
        <v>2618.0140000000001</v>
      </c>
      <c r="AB22">
        <v>2979.12</v>
      </c>
      <c r="AC22">
        <v>0.84</v>
      </c>
      <c r="AD22">
        <v>189.23699999999999</v>
      </c>
      <c r="AE22">
        <v>187.20500000000001</v>
      </c>
      <c r="AF22">
        <v>19.72</v>
      </c>
      <c r="AG22">
        <v>107.824</v>
      </c>
      <c r="AH22">
        <v>0.97547169811320755</v>
      </c>
      <c r="AI22">
        <v>232.45500000000001</v>
      </c>
      <c r="AJ22">
        <v>2.0754716981132074E-2</v>
      </c>
      <c r="AK22">
        <v>6.64</v>
      </c>
      <c r="AL22">
        <v>-26.925000000000001</v>
      </c>
      <c r="AM22">
        <v>360.81799999999998</v>
      </c>
      <c r="AN22">
        <v>371.36799999999999</v>
      </c>
      <c r="AO22">
        <v>26.228000000000002</v>
      </c>
      <c r="AP22">
        <v>324.947</v>
      </c>
      <c r="AQ22">
        <v>464.21100000000001</v>
      </c>
      <c r="AR22">
        <v>2228.2109999999998</v>
      </c>
      <c r="AS22">
        <v>2181.7890000000002</v>
      </c>
      <c r="AT22">
        <v>193.26599999999999</v>
      </c>
      <c r="AU22">
        <v>1949.684</v>
      </c>
      <c r="AV22">
        <v>2506.7370000000001</v>
      </c>
      <c r="AW22">
        <v>3124.7170000000001</v>
      </c>
      <c r="AX22">
        <v>3110.2109999999998</v>
      </c>
      <c r="AY22">
        <v>102.76</v>
      </c>
      <c r="AZ22">
        <v>2878.105</v>
      </c>
      <c r="BA22">
        <v>3435.1579999999999</v>
      </c>
      <c r="BB22">
        <v>1.06</v>
      </c>
      <c r="BC22">
        <v>207.083</v>
      </c>
      <c r="BD22">
        <v>186.69499999999999</v>
      </c>
      <c r="BE22">
        <v>56.648000000000003</v>
      </c>
      <c r="BF22">
        <v>105.575</v>
      </c>
      <c r="BG22">
        <v>1.6393442622950821E-2</v>
      </c>
      <c r="BH22">
        <v>361.47500000000002</v>
      </c>
      <c r="BI22">
        <v>0.24098360655737705</v>
      </c>
      <c r="BJ22">
        <v>4.0949999999999998</v>
      </c>
      <c r="BK22">
        <v>-24.126999999999999</v>
      </c>
      <c r="BL22">
        <v>370.30700000000002</v>
      </c>
      <c r="BM22">
        <v>363.60399999999998</v>
      </c>
      <c r="BN22">
        <v>17.555</v>
      </c>
      <c r="BO22">
        <v>363.60399999999998</v>
      </c>
      <c r="BP22">
        <v>415.548</v>
      </c>
      <c r="BQ22">
        <v>1116.7840000000001</v>
      </c>
      <c r="BR22">
        <v>1116.7840000000001</v>
      </c>
      <c r="BS22">
        <v>257.10700000000003</v>
      </c>
      <c r="BT22">
        <v>934.98199999999997</v>
      </c>
      <c r="BU22">
        <v>1298.587</v>
      </c>
      <c r="BV22">
        <v>3473.51</v>
      </c>
      <c r="BW22">
        <v>3480.212</v>
      </c>
      <c r="BX22">
        <v>223.85900000000001</v>
      </c>
      <c r="BY22">
        <v>2960.777</v>
      </c>
      <c r="BZ22">
        <v>3999.6469999999999</v>
      </c>
      <c r="CA22">
        <v>1.22</v>
      </c>
      <c r="CB22">
        <v>6</v>
      </c>
      <c r="CC22">
        <v>2</v>
      </c>
      <c r="CD22">
        <v>2</v>
      </c>
      <c r="CE22">
        <v>4</v>
      </c>
      <c r="CF22">
        <v>4</v>
      </c>
    </row>
    <row r="23" spans="1:84" x14ac:dyDescent="0.35">
      <c r="A23" t="s">
        <v>153</v>
      </c>
      <c r="B23" t="str">
        <f t="shared" si="0"/>
        <v xml:space="preserve"> as_st_2005_11_28_811</v>
      </c>
      <c r="C23" s="1">
        <f t="shared" si="1"/>
        <v>45752</v>
      </c>
      <c r="D23" t="s">
        <v>78</v>
      </c>
      <c r="E23">
        <v>189.977</v>
      </c>
      <c r="F23">
        <v>190.08600000000001</v>
      </c>
      <c r="G23">
        <v>2.21</v>
      </c>
      <c r="H23">
        <v>182.017</v>
      </c>
      <c r="I23">
        <v>1.9512195121951219E-2</v>
      </c>
      <c r="J23">
        <v>195.256</v>
      </c>
      <c r="K23">
        <v>0.78262195121951228</v>
      </c>
      <c r="L23">
        <v>0.33300000000000002</v>
      </c>
      <c r="M23">
        <v>-28.596</v>
      </c>
      <c r="N23">
        <v>412.99</v>
      </c>
      <c r="O23">
        <v>409.17500000000001</v>
      </c>
      <c r="P23">
        <v>32.595999999999997</v>
      </c>
      <c r="Q23">
        <v>318.24700000000001</v>
      </c>
      <c r="R23">
        <v>545.56700000000001</v>
      </c>
      <c r="S23">
        <v>1527.9559999999999</v>
      </c>
      <c r="T23">
        <v>1545.7729999999999</v>
      </c>
      <c r="U23">
        <v>38.837000000000003</v>
      </c>
      <c r="V23">
        <v>1454.845</v>
      </c>
      <c r="W23">
        <v>1636.701</v>
      </c>
      <c r="X23">
        <v>2879.893</v>
      </c>
      <c r="Y23">
        <v>2909.6909999999998</v>
      </c>
      <c r="Z23">
        <v>141.17500000000001</v>
      </c>
      <c r="AA23">
        <v>2364.1239999999998</v>
      </c>
      <c r="AB23">
        <v>3091.5459999999998</v>
      </c>
      <c r="AC23">
        <v>3.28</v>
      </c>
      <c r="AD23">
        <v>193.48500000000001</v>
      </c>
      <c r="AE23">
        <v>193.42099999999999</v>
      </c>
      <c r="AF23">
        <v>2.9870000000000001</v>
      </c>
      <c r="AG23">
        <v>188.69200000000001</v>
      </c>
      <c r="AH23">
        <v>0.10393258426966293</v>
      </c>
      <c r="AI23">
        <v>227.32</v>
      </c>
      <c r="AJ23">
        <v>0</v>
      </c>
      <c r="AK23">
        <v>0.33700000000000002</v>
      </c>
      <c r="AL23">
        <v>-28.28</v>
      </c>
      <c r="AM23">
        <v>330.79700000000003</v>
      </c>
      <c r="AN23">
        <v>323.24599999999998</v>
      </c>
      <c r="AO23">
        <v>18.641999999999999</v>
      </c>
      <c r="AP23">
        <v>277.06799999999998</v>
      </c>
      <c r="AQ23">
        <v>369.42399999999998</v>
      </c>
      <c r="AR23">
        <v>2413.3029999999999</v>
      </c>
      <c r="AS23">
        <v>2424.346</v>
      </c>
      <c r="AT23">
        <v>69.819000000000003</v>
      </c>
      <c r="AU23">
        <v>2216.5450000000001</v>
      </c>
      <c r="AV23">
        <v>2539.7910000000002</v>
      </c>
      <c r="AW23">
        <v>2998.1709999999998</v>
      </c>
      <c r="AX23">
        <v>3001.5709999999999</v>
      </c>
      <c r="AY23">
        <v>113.989</v>
      </c>
      <c r="AZ23">
        <v>2678.3249999999998</v>
      </c>
      <c r="BA23">
        <v>3278.6390000000001</v>
      </c>
      <c r="BB23">
        <v>3.56</v>
      </c>
      <c r="BC23">
        <v>192.88300000000001</v>
      </c>
      <c r="BD23">
        <v>194.029</v>
      </c>
      <c r="BE23">
        <v>3.8759999999999999</v>
      </c>
      <c r="BF23">
        <v>178.02799999999999</v>
      </c>
      <c r="BG23">
        <v>5.4037267080745334E-2</v>
      </c>
      <c r="BH23">
        <v>206.07499999999999</v>
      </c>
      <c r="BI23">
        <v>0</v>
      </c>
      <c r="BJ23">
        <v>0.38</v>
      </c>
      <c r="BK23">
        <v>-28.808</v>
      </c>
      <c r="BL23">
        <v>362.64400000000001</v>
      </c>
      <c r="BM23">
        <v>370.19900000000001</v>
      </c>
      <c r="BN23">
        <v>17.161999999999999</v>
      </c>
      <c r="BO23">
        <v>323.92399999999998</v>
      </c>
      <c r="BP23">
        <v>370.19900000000001</v>
      </c>
      <c r="BQ23">
        <v>1012.575</v>
      </c>
      <c r="BR23">
        <v>1018.048</v>
      </c>
      <c r="BS23">
        <v>56.2</v>
      </c>
      <c r="BT23">
        <v>971.77300000000002</v>
      </c>
      <c r="BU23">
        <v>1388.248</v>
      </c>
      <c r="BV23">
        <v>3308.6570000000002</v>
      </c>
      <c r="BW23">
        <v>3192.97</v>
      </c>
      <c r="BX23">
        <v>291.64600000000002</v>
      </c>
      <c r="BY23">
        <v>2869.0450000000001</v>
      </c>
      <c r="BZ23">
        <v>4211.018</v>
      </c>
      <c r="CA23">
        <v>3.22</v>
      </c>
      <c r="CB23">
        <v>5</v>
      </c>
      <c r="CC23">
        <v>3</v>
      </c>
      <c r="CD23">
        <v>1</v>
      </c>
      <c r="CE23">
        <v>1</v>
      </c>
      <c r="CF23">
        <v>1</v>
      </c>
    </row>
    <row r="24" spans="1:84" x14ac:dyDescent="0.35">
      <c r="A24" t="s">
        <v>81</v>
      </c>
      <c r="B24" t="str">
        <f t="shared" si="0"/>
        <v xml:space="preserve"> au_lo_2005_04_04_587</v>
      </c>
      <c r="C24" s="1">
        <f t="shared" si="1"/>
        <v>45748</v>
      </c>
      <c r="D24" t="s">
        <v>78</v>
      </c>
      <c r="E24">
        <v>184.64599999999999</v>
      </c>
      <c r="F24">
        <v>185.517</v>
      </c>
      <c r="G24">
        <v>6.5490000000000004</v>
      </c>
      <c r="H24">
        <v>117.645</v>
      </c>
      <c r="I24">
        <v>0</v>
      </c>
      <c r="J24">
        <v>188.46199999999999</v>
      </c>
      <c r="K24">
        <v>0.74022556390977445</v>
      </c>
      <c r="L24">
        <v>0.96199999999999997</v>
      </c>
      <c r="M24">
        <v>-19.722000000000001</v>
      </c>
      <c r="N24">
        <v>814.65499999999997</v>
      </c>
      <c r="O24">
        <v>793.00699999999995</v>
      </c>
      <c r="P24">
        <v>57.072000000000003</v>
      </c>
      <c r="Q24">
        <v>528.67100000000005</v>
      </c>
      <c r="R24">
        <v>1013.287</v>
      </c>
      <c r="S24">
        <v>1179.636</v>
      </c>
      <c r="T24">
        <v>1189.51</v>
      </c>
      <c r="U24">
        <v>50.344000000000001</v>
      </c>
      <c r="V24">
        <v>1057.3430000000001</v>
      </c>
      <c r="W24">
        <v>1277.6220000000001</v>
      </c>
      <c r="X24">
        <v>2812.364</v>
      </c>
      <c r="Y24">
        <v>2819.58</v>
      </c>
      <c r="Z24">
        <v>106.012</v>
      </c>
      <c r="AA24">
        <v>2511.1889999999999</v>
      </c>
      <c r="AB24">
        <v>3127.9720000000002</v>
      </c>
      <c r="AC24">
        <v>2.66</v>
      </c>
      <c r="AD24">
        <v>185.90100000000001</v>
      </c>
      <c r="AE24">
        <v>185.29400000000001</v>
      </c>
      <c r="AF24">
        <v>4.01</v>
      </c>
      <c r="AG24">
        <v>178.233</v>
      </c>
      <c r="AH24">
        <v>0.97126865671641793</v>
      </c>
      <c r="AI24">
        <v>213.48500000000001</v>
      </c>
      <c r="AJ24">
        <v>7.462686567164179E-3</v>
      </c>
      <c r="AK24">
        <v>0.60499999999999998</v>
      </c>
      <c r="AL24">
        <v>-26.161999999999999</v>
      </c>
      <c r="AM24">
        <v>350.02800000000002</v>
      </c>
      <c r="AN24">
        <v>353.15300000000002</v>
      </c>
      <c r="AO24">
        <v>11.372999999999999</v>
      </c>
      <c r="AP24">
        <v>309.00900000000001</v>
      </c>
      <c r="AQ24">
        <v>353.15300000000002</v>
      </c>
      <c r="AR24">
        <v>2549.3240000000001</v>
      </c>
      <c r="AS24">
        <v>2560.36</v>
      </c>
      <c r="AT24">
        <v>23.466999999999999</v>
      </c>
      <c r="AU24">
        <v>2516.2159999999999</v>
      </c>
      <c r="AV24">
        <v>2604.5050000000001</v>
      </c>
      <c r="AW24">
        <v>3453.808</v>
      </c>
      <c r="AX24">
        <v>3399.0990000000002</v>
      </c>
      <c r="AY24">
        <v>188.33</v>
      </c>
      <c r="AZ24">
        <v>3090.09</v>
      </c>
      <c r="BA24">
        <v>3840.5410000000002</v>
      </c>
      <c r="BB24">
        <v>2.68</v>
      </c>
      <c r="BC24">
        <v>186.19399999999999</v>
      </c>
      <c r="BD24">
        <v>185.964</v>
      </c>
      <c r="BE24">
        <v>2.2149999999999999</v>
      </c>
      <c r="BF24">
        <v>182.447</v>
      </c>
      <c r="BG24">
        <v>0.65</v>
      </c>
      <c r="BH24">
        <v>195.38</v>
      </c>
      <c r="BI24">
        <v>0.99839999999999995</v>
      </c>
      <c r="BJ24">
        <v>0.68300000000000005</v>
      </c>
      <c r="BK24">
        <v>-25.675999999999998</v>
      </c>
      <c r="BL24">
        <v>353.31799999999998</v>
      </c>
      <c r="BM24">
        <v>352.096</v>
      </c>
      <c r="BN24">
        <v>7266</v>
      </c>
      <c r="BO24">
        <v>352.096</v>
      </c>
      <c r="BP24">
        <v>396.108</v>
      </c>
      <c r="BQ24">
        <v>980.83799999999997</v>
      </c>
      <c r="BR24">
        <v>968.26300000000003</v>
      </c>
      <c r="BS24">
        <v>34.707000000000001</v>
      </c>
      <c r="BT24">
        <v>968.26300000000003</v>
      </c>
      <c r="BU24">
        <v>1144.3109999999999</v>
      </c>
      <c r="BV24">
        <v>4164.9870000000001</v>
      </c>
      <c r="BW24">
        <v>4269.1620000000003</v>
      </c>
      <c r="BX24">
        <v>413.76499999999999</v>
      </c>
      <c r="BY24">
        <v>2948.8020000000001</v>
      </c>
      <c r="BZ24">
        <v>4709.2809999999999</v>
      </c>
      <c r="CA24">
        <v>2.5</v>
      </c>
    </row>
    <row r="25" spans="1:84" x14ac:dyDescent="0.35">
      <c r="A25" t="s">
        <v>209</v>
      </c>
      <c r="B25" t="str">
        <f t="shared" si="0"/>
        <v xml:space="preserve"> au_ri_2004_02_19_848</v>
      </c>
      <c r="C25" s="1">
        <f t="shared" si="1"/>
        <v>45747</v>
      </c>
      <c r="D25" t="s">
        <v>78</v>
      </c>
      <c r="E25">
        <v>173.833</v>
      </c>
      <c r="F25">
        <v>173.81800000000001</v>
      </c>
      <c r="G25">
        <v>3.2730000000000001</v>
      </c>
      <c r="H25">
        <v>157.5</v>
      </c>
      <c r="I25">
        <v>0.98611111111111105</v>
      </c>
      <c r="J25">
        <v>180.52600000000001</v>
      </c>
      <c r="K25">
        <v>2.8571428571428571E-2</v>
      </c>
      <c r="L25">
        <v>0.54200000000000004</v>
      </c>
      <c r="M25">
        <v>-25.245999999999999</v>
      </c>
      <c r="N25">
        <v>722.55499999999995</v>
      </c>
      <c r="O25">
        <v>711.29</v>
      </c>
      <c r="P25">
        <v>30.978000000000002</v>
      </c>
      <c r="Q25">
        <v>669.45</v>
      </c>
      <c r="R25">
        <v>878.65300000000002</v>
      </c>
      <c r="S25">
        <v>1231.482</v>
      </c>
      <c r="T25">
        <v>1255.2180000000001</v>
      </c>
      <c r="U25">
        <v>61.637999999999998</v>
      </c>
      <c r="V25">
        <v>1046.0150000000001</v>
      </c>
      <c r="W25">
        <v>1338.8989999999999</v>
      </c>
      <c r="X25">
        <v>3109.4810000000002</v>
      </c>
      <c r="Y25">
        <v>3096.2049999999999</v>
      </c>
      <c r="Z25">
        <v>85.542000000000002</v>
      </c>
      <c r="AA25">
        <v>2887.002</v>
      </c>
      <c r="AB25">
        <v>3430.93</v>
      </c>
      <c r="AC25">
        <v>2.52</v>
      </c>
      <c r="AD25">
        <v>181.84399999999999</v>
      </c>
      <c r="AE25">
        <v>181.268</v>
      </c>
      <c r="AF25">
        <v>4.7789999999999999</v>
      </c>
      <c r="AG25">
        <v>175.298</v>
      </c>
      <c r="AH25">
        <v>0.3352</v>
      </c>
      <c r="AI25">
        <v>222.727</v>
      </c>
      <c r="AJ25">
        <v>0</v>
      </c>
      <c r="AK25">
        <v>0.63600000000000001</v>
      </c>
      <c r="AL25">
        <v>-28.373000000000001</v>
      </c>
      <c r="AM25">
        <v>373.65800000000002</v>
      </c>
      <c r="AN25">
        <v>390.26499999999999</v>
      </c>
      <c r="AO25">
        <v>21.192</v>
      </c>
      <c r="AP25">
        <v>346.90300000000002</v>
      </c>
      <c r="AQ25">
        <v>390.26499999999999</v>
      </c>
      <c r="AR25">
        <v>2495.8270000000002</v>
      </c>
      <c r="AS25">
        <v>2515.0439999999999</v>
      </c>
      <c r="AT25">
        <v>43.540999999999997</v>
      </c>
      <c r="AU25">
        <v>2341.5929999999998</v>
      </c>
      <c r="AV25">
        <v>2601.77</v>
      </c>
      <c r="AW25">
        <v>3139.9549999999999</v>
      </c>
      <c r="AX25">
        <v>3122.1239999999998</v>
      </c>
      <c r="AY25">
        <v>130.35499999999999</v>
      </c>
      <c r="AZ25">
        <v>2948.6729999999998</v>
      </c>
      <c r="BA25">
        <v>3555.752</v>
      </c>
      <c r="BB25">
        <v>2.5</v>
      </c>
      <c r="BC25">
        <v>173.7</v>
      </c>
      <c r="BD25">
        <v>172.99</v>
      </c>
      <c r="BE25">
        <v>3.3650000000000002</v>
      </c>
      <c r="BF25">
        <v>168.41200000000001</v>
      </c>
      <c r="BG25">
        <v>0.84188034188034189</v>
      </c>
      <c r="BH25">
        <v>183.31399999999999</v>
      </c>
      <c r="BI25">
        <v>3.1196581196581197E-2</v>
      </c>
      <c r="BJ25">
        <v>0.38600000000000001</v>
      </c>
      <c r="BK25">
        <v>-28.335999999999999</v>
      </c>
      <c r="BL25">
        <v>403.95600000000002</v>
      </c>
      <c r="BM25">
        <v>374.08100000000002</v>
      </c>
      <c r="BN25">
        <v>34.488</v>
      </c>
      <c r="BO25">
        <v>374.08100000000002</v>
      </c>
      <c r="BP25">
        <v>498.77499999999998</v>
      </c>
      <c r="BQ25">
        <v>1001.849</v>
      </c>
      <c r="BR25">
        <v>997.54899999999998</v>
      </c>
      <c r="BS25">
        <v>20.315999999999999</v>
      </c>
      <c r="BT25">
        <v>955.98500000000001</v>
      </c>
      <c r="BU25">
        <v>1039.114</v>
      </c>
      <c r="BV25">
        <v>3004.3380000000002</v>
      </c>
      <c r="BW25">
        <v>3034.2130000000002</v>
      </c>
      <c r="BX25">
        <v>190.68299999999999</v>
      </c>
      <c r="BY25">
        <v>2452.3090000000002</v>
      </c>
      <c r="BZ25">
        <v>3325.165</v>
      </c>
      <c r="CA25">
        <v>2.34</v>
      </c>
      <c r="CB25">
        <v>7</v>
      </c>
      <c r="CC25">
        <v>3</v>
      </c>
      <c r="CD25">
        <v>1</v>
      </c>
      <c r="CE25">
        <v>2</v>
      </c>
      <c r="CF25">
        <v>5</v>
      </c>
    </row>
    <row r="26" spans="1:84" x14ac:dyDescent="0.35">
      <c r="A26" t="s">
        <v>82</v>
      </c>
      <c r="B26" t="str">
        <f t="shared" si="0"/>
        <v xml:space="preserve"> au_te_2005_05_22_789</v>
      </c>
      <c r="C26" s="1">
        <f t="shared" si="1"/>
        <v>45748</v>
      </c>
      <c r="D26" t="s">
        <v>78</v>
      </c>
      <c r="E26">
        <v>188.83</v>
      </c>
      <c r="F26">
        <v>189.32900000000001</v>
      </c>
      <c r="G26">
        <v>8.4390000000000001</v>
      </c>
      <c r="H26">
        <v>105.179</v>
      </c>
      <c r="I26">
        <v>8.4033613445378165E-3</v>
      </c>
      <c r="J26">
        <v>199.548</v>
      </c>
      <c r="K26">
        <v>1.7647058823529415E-2</v>
      </c>
      <c r="L26">
        <v>1.1399999999999999</v>
      </c>
      <c r="M26">
        <v>-26.867000000000001</v>
      </c>
      <c r="N26">
        <v>651.83500000000004</v>
      </c>
      <c r="O26">
        <v>629.35799999999995</v>
      </c>
      <c r="P26">
        <v>29.265000000000001</v>
      </c>
      <c r="Q26">
        <v>584.404</v>
      </c>
      <c r="R26">
        <v>764.22</v>
      </c>
      <c r="S26">
        <v>1126.7349999999999</v>
      </c>
      <c r="T26">
        <v>1123.8530000000001</v>
      </c>
      <c r="U26">
        <v>51.911999999999999</v>
      </c>
      <c r="V26">
        <v>988.99099999999999</v>
      </c>
      <c r="W26">
        <v>1213.761</v>
      </c>
      <c r="X26">
        <v>3173.5070000000001</v>
      </c>
      <c r="Y26">
        <v>3146.7890000000002</v>
      </c>
      <c r="Z26">
        <v>166.79900000000001</v>
      </c>
      <c r="AA26">
        <v>2877.0639999999999</v>
      </c>
      <c r="AB26">
        <v>3641.2840000000001</v>
      </c>
      <c r="AC26">
        <v>2.38</v>
      </c>
      <c r="AD26">
        <v>194.66800000000001</v>
      </c>
      <c r="AE26">
        <v>192.33600000000001</v>
      </c>
      <c r="AF26">
        <v>6.1360000000000001</v>
      </c>
      <c r="AG26">
        <v>189.96899999999999</v>
      </c>
      <c r="AH26">
        <v>0.66520000000000001</v>
      </c>
      <c r="AI26">
        <v>233.333</v>
      </c>
      <c r="AJ26">
        <v>8.0000000000000002E-3</v>
      </c>
      <c r="AK26">
        <v>0.42399999999999999</v>
      </c>
      <c r="AL26">
        <v>-30.603000000000002</v>
      </c>
      <c r="AM26">
        <v>356.65499999999997</v>
      </c>
      <c r="AN26">
        <v>368.267</v>
      </c>
      <c r="AO26">
        <v>24.413</v>
      </c>
      <c r="AP26">
        <v>230.167</v>
      </c>
      <c r="AQ26">
        <v>368.267</v>
      </c>
      <c r="AR26">
        <v>1749.269</v>
      </c>
      <c r="AS26">
        <v>1749.269</v>
      </c>
      <c r="AT26">
        <v>0</v>
      </c>
      <c r="AU26">
        <v>1749.269</v>
      </c>
      <c r="AV26">
        <v>1749.269</v>
      </c>
      <c r="AW26">
        <v>3341.46</v>
      </c>
      <c r="AX26">
        <v>3314.4050000000002</v>
      </c>
      <c r="AY26">
        <v>175.99100000000001</v>
      </c>
      <c r="AZ26">
        <v>2854.0709999999999</v>
      </c>
      <c r="BA26">
        <v>4050.9389999999999</v>
      </c>
      <c r="BB26">
        <v>2.5</v>
      </c>
      <c r="BC26">
        <v>194.27799999999999</v>
      </c>
      <c r="BD26">
        <v>191.97800000000001</v>
      </c>
      <c r="BE26">
        <v>9.4060000000000006</v>
      </c>
      <c r="BF26">
        <v>187.09100000000001</v>
      </c>
      <c r="BG26">
        <v>0.98378378378378373</v>
      </c>
      <c r="BH26">
        <v>253.44800000000001</v>
      </c>
      <c r="BI26">
        <v>0</v>
      </c>
      <c r="BJ26">
        <v>0.51600000000000001</v>
      </c>
      <c r="BK26">
        <v>-29.637</v>
      </c>
      <c r="BL26">
        <v>369.59300000000002</v>
      </c>
      <c r="BM26">
        <v>366.35500000000002</v>
      </c>
      <c r="BN26">
        <v>38.843000000000004</v>
      </c>
      <c r="BO26">
        <v>320.56099999999998</v>
      </c>
      <c r="BP26">
        <v>732.71</v>
      </c>
      <c r="BQ26">
        <v>1557.009</v>
      </c>
      <c r="BR26">
        <v>1557.009</v>
      </c>
      <c r="BS26">
        <v>0</v>
      </c>
      <c r="BT26">
        <v>1557.009</v>
      </c>
      <c r="BU26">
        <v>1557.009</v>
      </c>
      <c r="BV26">
        <v>3068.2240000000002</v>
      </c>
      <c r="BW26">
        <v>3045.3270000000002</v>
      </c>
      <c r="BX26">
        <v>158.369</v>
      </c>
      <c r="BY26">
        <v>2793.4580000000001</v>
      </c>
      <c r="BZ26">
        <v>3571.9630000000002</v>
      </c>
      <c r="CA26">
        <v>2.2200000000000002</v>
      </c>
      <c r="CB26">
        <v>3</v>
      </c>
      <c r="CC26">
        <v>2</v>
      </c>
      <c r="CD26">
        <v>2</v>
      </c>
      <c r="CE26">
        <v>4</v>
      </c>
      <c r="CF26">
        <v>1</v>
      </c>
    </row>
    <row r="27" spans="1:84" x14ac:dyDescent="0.35">
      <c r="A27" t="s">
        <v>136</v>
      </c>
      <c r="B27" t="str">
        <f t="shared" si="0"/>
        <v xml:space="preserve"> az_sa_2004_04_06_567</v>
      </c>
      <c r="C27" s="1">
        <f t="shared" si="1"/>
        <v>45751</v>
      </c>
      <c r="D27" t="s">
        <v>78</v>
      </c>
      <c r="E27">
        <v>187.75299999999999</v>
      </c>
      <c r="F27">
        <v>177.92500000000001</v>
      </c>
      <c r="G27">
        <v>36.338999999999999</v>
      </c>
      <c r="H27">
        <v>171.88200000000001</v>
      </c>
      <c r="I27">
        <v>0.15609756097560976</v>
      </c>
      <c r="J27">
        <v>340.35300000000001</v>
      </c>
      <c r="K27">
        <v>5.4471544715447157E-2</v>
      </c>
      <c r="L27">
        <v>0.98</v>
      </c>
      <c r="M27">
        <v>-25.943999999999999</v>
      </c>
      <c r="N27">
        <v>351.29</v>
      </c>
      <c r="O27">
        <v>354.57299999999998</v>
      </c>
      <c r="P27">
        <v>11.662000000000001</v>
      </c>
      <c r="Q27">
        <v>310.25099999999998</v>
      </c>
      <c r="R27">
        <v>354.57299999999998</v>
      </c>
      <c r="S27">
        <v>2305.5149999999999</v>
      </c>
      <c r="T27">
        <v>2304.7240000000002</v>
      </c>
      <c r="U27">
        <v>135.09399999999999</v>
      </c>
      <c r="V27">
        <v>1950.1510000000001</v>
      </c>
      <c r="W27">
        <v>2570.6529999999998</v>
      </c>
      <c r="X27">
        <v>3625.3429999999998</v>
      </c>
      <c r="Y27">
        <v>3634.3719999999998</v>
      </c>
      <c r="Z27">
        <v>89.418000000000006</v>
      </c>
      <c r="AA27">
        <v>3412.7640000000001</v>
      </c>
      <c r="AB27">
        <v>3944.623</v>
      </c>
      <c r="AC27">
        <v>2.46</v>
      </c>
      <c r="AD27">
        <v>179.69399999999999</v>
      </c>
      <c r="AE27">
        <v>176.09800000000001</v>
      </c>
      <c r="AF27">
        <v>20.872</v>
      </c>
      <c r="AG27">
        <v>171.691</v>
      </c>
      <c r="AH27">
        <v>7.1969696969696961E-2</v>
      </c>
      <c r="AI27">
        <v>310.56299999999999</v>
      </c>
      <c r="AJ27">
        <v>9.0909090909090905E-3</v>
      </c>
      <c r="AK27">
        <v>0.79200000000000004</v>
      </c>
      <c r="AL27">
        <v>-27.52</v>
      </c>
      <c r="AM27">
        <v>344.13299999999998</v>
      </c>
      <c r="AN27">
        <v>339.88400000000001</v>
      </c>
      <c r="AO27">
        <v>48.816000000000003</v>
      </c>
      <c r="AP27">
        <v>297.399</v>
      </c>
      <c r="AQ27">
        <v>849.71100000000001</v>
      </c>
      <c r="AR27">
        <v>2400.1779999999999</v>
      </c>
      <c r="AS27">
        <v>2421.6759999999999</v>
      </c>
      <c r="AT27">
        <v>149.161</v>
      </c>
      <c r="AU27">
        <v>1274.566</v>
      </c>
      <c r="AV27">
        <v>2549.1329999999998</v>
      </c>
      <c r="AW27">
        <v>3471.95</v>
      </c>
      <c r="AX27">
        <v>3441.3290000000002</v>
      </c>
      <c r="AY27">
        <v>152.23500000000001</v>
      </c>
      <c r="AZ27">
        <v>3143.931</v>
      </c>
      <c r="BA27">
        <v>4460.9830000000002</v>
      </c>
      <c r="BB27">
        <v>2.64</v>
      </c>
      <c r="BC27">
        <v>177.32300000000001</v>
      </c>
      <c r="BD27">
        <v>177.41399999999999</v>
      </c>
      <c r="BE27">
        <v>1.1990000000000001</v>
      </c>
      <c r="BF27">
        <v>173.81800000000001</v>
      </c>
      <c r="BG27">
        <v>7.4015748031496062E-2</v>
      </c>
      <c r="BH27">
        <v>180.21</v>
      </c>
      <c r="BI27">
        <v>0.96968503937007877</v>
      </c>
      <c r="BJ27">
        <v>0.33100000000000002</v>
      </c>
      <c r="BK27">
        <v>-28.420999999999999</v>
      </c>
      <c r="BL27">
        <v>337.28500000000003</v>
      </c>
      <c r="BM27">
        <v>337.28500000000003</v>
      </c>
      <c r="BN27">
        <v>0</v>
      </c>
      <c r="BO27">
        <v>337.28500000000003</v>
      </c>
      <c r="BP27">
        <v>337.28500000000003</v>
      </c>
      <c r="BQ27">
        <v>2300.8760000000002</v>
      </c>
      <c r="BR27">
        <v>2318.8339999999998</v>
      </c>
      <c r="BS27">
        <v>151.37100000000001</v>
      </c>
      <c r="BT27">
        <v>1517.7819999999999</v>
      </c>
      <c r="BU27">
        <v>2571.797</v>
      </c>
      <c r="BV27">
        <v>3597.5729999999999</v>
      </c>
      <c r="BW27">
        <v>3625.8130000000001</v>
      </c>
      <c r="BX27">
        <v>94.134</v>
      </c>
      <c r="BY27">
        <v>3330.6880000000001</v>
      </c>
      <c r="BZ27">
        <v>3836.616</v>
      </c>
      <c r="CA27">
        <v>2.54</v>
      </c>
      <c r="CB27">
        <v>6</v>
      </c>
      <c r="CC27">
        <v>6</v>
      </c>
      <c r="CD27">
        <v>0</v>
      </c>
      <c r="CE27">
        <v>6</v>
      </c>
      <c r="CF27">
        <v>2</v>
      </c>
    </row>
    <row r="28" spans="1:84" x14ac:dyDescent="0.35">
      <c r="A28" t="s">
        <v>114</v>
      </c>
      <c r="B28" t="str">
        <f t="shared" si="0"/>
        <v xml:space="preserve"> be_ra_2005_06_09_810</v>
      </c>
      <c r="C28" s="1">
        <f t="shared" si="1"/>
        <v>45750</v>
      </c>
      <c r="D28" t="s">
        <v>78</v>
      </c>
      <c r="E28">
        <v>162.59700000000001</v>
      </c>
      <c r="F28">
        <v>162.816</v>
      </c>
      <c r="G28">
        <v>6.774</v>
      </c>
      <c r="H28">
        <v>108.468</v>
      </c>
      <c r="I28">
        <v>0</v>
      </c>
      <c r="J28">
        <v>177.108</v>
      </c>
      <c r="K28">
        <v>0.98484848484848486</v>
      </c>
      <c r="L28">
        <v>1.2110000000000001</v>
      </c>
      <c r="M28">
        <v>-24.163</v>
      </c>
      <c r="N28">
        <v>881.15899999999999</v>
      </c>
      <c r="O28">
        <v>896.02499999999998</v>
      </c>
      <c r="P28">
        <v>61.009</v>
      </c>
      <c r="Q28">
        <v>545.40599999999995</v>
      </c>
      <c r="R28">
        <v>934.98199999999997</v>
      </c>
      <c r="S28">
        <v>1169.7529999999999</v>
      </c>
      <c r="T28">
        <v>1168.7280000000001</v>
      </c>
      <c r="U28">
        <v>39.203000000000003</v>
      </c>
      <c r="V28">
        <v>1051.855</v>
      </c>
      <c r="W28">
        <v>1246.643</v>
      </c>
      <c r="X28">
        <v>2586.5790000000002</v>
      </c>
      <c r="Y28">
        <v>2571.201</v>
      </c>
      <c r="Z28">
        <v>139.97</v>
      </c>
      <c r="AA28">
        <v>2454.3290000000002</v>
      </c>
      <c r="AB28">
        <v>3272.4380000000001</v>
      </c>
      <c r="AC28">
        <v>1.98</v>
      </c>
      <c r="AD28">
        <v>172.27199999999999</v>
      </c>
      <c r="AE28">
        <v>170.93</v>
      </c>
      <c r="AF28">
        <v>4.66</v>
      </c>
      <c r="AG28">
        <v>167.95400000000001</v>
      </c>
      <c r="AH28">
        <v>0.92216494845360819</v>
      </c>
      <c r="AI28">
        <v>204.167</v>
      </c>
      <c r="AJ28">
        <v>0</v>
      </c>
      <c r="AK28">
        <v>0.625</v>
      </c>
      <c r="AL28">
        <v>-28.456</v>
      </c>
      <c r="AM28">
        <v>326.51400000000001</v>
      </c>
      <c r="AN28">
        <v>330.64699999999999</v>
      </c>
      <c r="AO28">
        <v>12.489000000000001</v>
      </c>
      <c r="AP28">
        <v>289.31599999999997</v>
      </c>
      <c r="AQ28">
        <v>330.64699999999999</v>
      </c>
      <c r="AR28">
        <v>2506.1509999999998</v>
      </c>
      <c r="AS28">
        <v>2521.181</v>
      </c>
      <c r="AT28">
        <v>103.36499999999999</v>
      </c>
      <c r="AU28">
        <v>2231.8649999999998</v>
      </c>
      <c r="AV28">
        <v>2603.8429999999998</v>
      </c>
      <c r="AW28">
        <v>3283.4470000000001</v>
      </c>
      <c r="AX28">
        <v>3265.136</v>
      </c>
      <c r="AY28">
        <v>99.878</v>
      </c>
      <c r="AZ28">
        <v>3058.482</v>
      </c>
      <c r="BA28">
        <v>3554.4520000000002</v>
      </c>
      <c r="BB28">
        <v>1.94</v>
      </c>
      <c r="BC28">
        <v>161.57900000000001</v>
      </c>
      <c r="BD28">
        <v>160.82300000000001</v>
      </c>
      <c r="BE28">
        <v>4.0880000000000001</v>
      </c>
      <c r="BF28">
        <v>153.965</v>
      </c>
      <c r="BG28">
        <v>0.94361702127659586</v>
      </c>
      <c r="BH28">
        <v>190.08600000000001</v>
      </c>
      <c r="BI28">
        <v>0</v>
      </c>
      <c r="BJ28">
        <v>0.63400000000000001</v>
      </c>
      <c r="BK28">
        <v>-28.466999999999999</v>
      </c>
      <c r="BL28">
        <v>372.12900000000002</v>
      </c>
      <c r="BM28">
        <v>388.54599999999999</v>
      </c>
      <c r="BN28">
        <v>22.428000000000001</v>
      </c>
      <c r="BO28">
        <v>349.69200000000001</v>
      </c>
      <c r="BP28">
        <v>427.40100000000001</v>
      </c>
      <c r="BQ28">
        <v>1000.5069999999999</v>
      </c>
      <c r="BR28">
        <v>1010.22</v>
      </c>
      <c r="BS28">
        <v>37.07</v>
      </c>
      <c r="BT28">
        <v>971.36599999999999</v>
      </c>
      <c r="BU28">
        <v>1165.6389999999999</v>
      </c>
      <c r="BV28">
        <v>3382.511</v>
      </c>
      <c r="BW28">
        <v>3419.2069999999999</v>
      </c>
      <c r="BX28">
        <v>132.66900000000001</v>
      </c>
      <c r="BY28">
        <v>3069.5149999999999</v>
      </c>
      <c r="BZ28">
        <v>3730.0439999999999</v>
      </c>
      <c r="CA28">
        <v>1.88</v>
      </c>
      <c r="CB28">
        <v>4</v>
      </c>
      <c r="CC28">
        <v>4</v>
      </c>
      <c r="CD28">
        <v>1</v>
      </c>
      <c r="CE28">
        <v>1</v>
      </c>
      <c r="CF28">
        <v>1</v>
      </c>
    </row>
    <row r="29" spans="1:84" x14ac:dyDescent="0.35">
      <c r="A29" t="s">
        <v>154</v>
      </c>
      <c r="B29" t="str">
        <f t="shared" si="0"/>
        <v xml:space="preserve"> bi_za_2005_02_22_631</v>
      </c>
      <c r="C29" s="1">
        <f t="shared" si="1"/>
        <v>45752</v>
      </c>
      <c r="D29" t="s">
        <v>78</v>
      </c>
      <c r="E29">
        <v>186.22399999999999</v>
      </c>
      <c r="F29">
        <v>185.62799999999999</v>
      </c>
      <c r="G29">
        <v>4.9450000000000003</v>
      </c>
      <c r="H29">
        <v>180</v>
      </c>
      <c r="I29">
        <v>4.8913043478260865E-2</v>
      </c>
      <c r="J29">
        <v>225</v>
      </c>
      <c r="K29">
        <v>1.2499999999999999E-2</v>
      </c>
      <c r="L29">
        <v>0.79600000000000004</v>
      </c>
      <c r="M29">
        <v>-30.785</v>
      </c>
      <c r="N29">
        <v>785.06399999999996</v>
      </c>
      <c r="O29">
        <v>808.35</v>
      </c>
      <c r="P29">
        <v>74.846999999999994</v>
      </c>
      <c r="Q29">
        <v>538.9</v>
      </c>
      <c r="R29">
        <v>1077.8</v>
      </c>
      <c r="S29">
        <v>1174.27</v>
      </c>
      <c r="T29">
        <v>1167.617</v>
      </c>
      <c r="U29">
        <v>63.95</v>
      </c>
      <c r="V29">
        <v>1077.8</v>
      </c>
      <c r="W29">
        <v>1481.9760000000001</v>
      </c>
      <c r="X29">
        <v>3485.11</v>
      </c>
      <c r="Y29">
        <v>3502.8510000000001</v>
      </c>
      <c r="Z29">
        <v>199.66300000000001</v>
      </c>
      <c r="AA29">
        <v>2919.0430000000001</v>
      </c>
      <c r="AB29">
        <v>4041.752</v>
      </c>
      <c r="AC29">
        <v>1.84</v>
      </c>
      <c r="AD29">
        <v>184.42500000000001</v>
      </c>
      <c r="AE29">
        <v>184.07900000000001</v>
      </c>
      <c r="AF29">
        <v>1.976</v>
      </c>
      <c r="AG29">
        <v>180.315</v>
      </c>
      <c r="AH29">
        <v>0.3585423197492163</v>
      </c>
      <c r="AI29">
        <v>190.90899999999999</v>
      </c>
      <c r="AJ29">
        <v>1</v>
      </c>
      <c r="AK29">
        <v>0.47899999999999998</v>
      </c>
      <c r="AL29">
        <v>-28.533000000000001</v>
      </c>
      <c r="AM29">
        <v>324.935</v>
      </c>
      <c r="AN29">
        <v>307.77699999999999</v>
      </c>
      <c r="AO29">
        <v>39.176000000000002</v>
      </c>
      <c r="AP29">
        <v>307.77699999999999</v>
      </c>
      <c r="AQ29">
        <v>527.61699999999996</v>
      </c>
      <c r="AR29">
        <v>2284.4009999999998</v>
      </c>
      <c r="AS29">
        <v>2330.3090000000002</v>
      </c>
      <c r="AT29">
        <v>186.608</v>
      </c>
      <c r="AU29">
        <v>1231.107</v>
      </c>
      <c r="AV29">
        <v>2506.181</v>
      </c>
      <c r="AW29">
        <v>3210.2420000000002</v>
      </c>
      <c r="AX29">
        <v>3209.6709999999998</v>
      </c>
      <c r="AY29">
        <v>184.965</v>
      </c>
      <c r="AZ29">
        <v>2813.9580000000001</v>
      </c>
      <c r="BA29">
        <v>3693.32</v>
      </c>
      <c r="BB29">
        <v>2.552</v>
      </c>
      <c r="BC29">
        <v>184.83699999999999</v>
      </c>
      <c r="BD29">
        <v>183.85900000000001</v>
      </c>
      <c r="BE29">
        <v>2.593</v>
      </c>
      <c r="BF29">
        <v>181.80199999999999</v>
      </c>
      <c r="BG29">
        <v>0.66630434782608694</v>
      </c>
      <c r="BH29">
        <v>192.57599999999999</v>
      </c>
      <c r="BI29">
        <v>0</v>
      </c>
      <c r="BJ29">
        <v>0.35499999999999998</v>
      </c>
      <c r="BK29">
        <v>-29.048999999999999</v>
      </c>
      <c r="BL29">
        <v>403.01100000000002</v>
      </c>
      <c r="BM29">
        <v>394.14100000000002</v>
      </c>
      <c r="BN29">
        <v>55.386000000000003</v>
      </c>
      <c r="BO29">
        <v>350.34800000000001</v>
      </c>
      <c r="BP29">
        <v>700.69500000000005</v>
      </c>
      <c r="BQ29">
        <v>976.88599999999997</v>
      </c>
      <c r="BR29">
        <v>963.45600000000002</v>
      </c>
      <c r="BS29">
        <v>67.143000000000001</v>
      </c>
      <c r="BT29">
        <v>919.66200000000003</v>
      </c>
      <c r="BU29">
        <v>1532.771</v>
      </c>
      <c r="BV29">
        <v>3351.5839999999998</v>
      </c>
      <c r="BW29">
        <v>3284.5079999999998</v>
      </c>
      <c r="BX29">
        <v>288.09899999999999</v>
      </c>
      <c r="BY29">
        <v>2934.1610000000001</v>
      </c>
      <c r="BZ29">
        <v>4072.79</v>
      </c>
      <c r="CA29">
        <v>1.84</v>
      </c>
      <c r="CB29">
        <v>6</v>
      </c>
      <c r="CC29">
        <v>1</v>
      </c>
      <c r="CD29">
        <v>0</v>
      </c>
      <c r="CE29">
        <v>2</v>
      </c>
      <c r="CF29">
        <v>2</v>
      </c>
    </row>
    <row r="30" spans="1:84" x14ac:dyDescent="0.35">
      <c r="A30" t="s">
        <v>155</v>
      </c>
      <c r="B30" t="str">
        <f t="shared" si="0"/>
        <v xml:space="preserve"> ca_ba_1999_03_11_977</v>
      </c>
      <c r="C30" s="1">
        <f t="shared" si="1"/>
        <v>45752</v>
      </c>
      <c r="D30" t="s">
        <v>78</v>
      </c>
      <c r="E30">
        <v>192.589</v>
      </c>
      <c r="F30">
        <v>193.785</v>
      </c>
      <c r="G30">
        <v>4.9809999999999999</v>
      </c>
      <c r="H30">
        <v>172.65100000000001</v>
      </c>
      <c r="I30">
        <v>9.5652173913043474E-3</v>
      </c>
      <c r="J30">
        <v>200.846</v>
      </c>
      <c r="K30">
        <v>0.98347826086956525</v>
      </c>
      <c r="L30">
        <v>0.57499999999999996</v>
      </c>
      <c r="M30">
        <v>-20.58</v>
      </c>
      <c r="N30">
        <v>661.38900000000001</v>
      </c>
      <c r="O30">
        <v>649.89499999999998</v>
      </c>
      <c r="P30">
        <v>58.923000000000002</v>
      </c>
      <c r="Q30">
        <v>557.053</v>
      </c>
      <c r="R30">
        <v>835.57899999999995</v>
      </c>
      <c r="S30">
        <v>1048.5999999999999</v>
      </c>
      <c r="T30">
        <v>1021.263</v>
      </c>
      <c r="U30">
        <v>41.106999999999999</v>
      </c>
      <c r="V30">
        <v>974.84199999999998</v>
      </c>
      <c r="W30">
        <v>1299.789</v>
      </c>
      <c r="X30">
        <v>3329.0529999999999</v>
      </c>
      <c r="Y30">
        <v>3295.895</v>
      </c>
      <c r="Z30">
        <v>223.715</v>
      </c>
      <c r="AA30">
        <v>2831.6840000000002</v>
      </c>
      <c r="AB30">
        <v>4317.1580000000004</v>
      </c>
      <c r="AC30">
        <v>2.2999999999999998</v>
      </c>
      <c r="AD30">
        <v>192.494</v>
      </c>
      <c r="AE30">
        <v>192.45599999999999</v>
      </c>
      <c r="AF30">
        <v>2.8420000000000001</v>
      </c>
      <c r="AG30">
        <v>187.31800000000001</v>
      </c>
      <c r="AH30">
        <v>0.94887640449438204</v>
      </c>
      <c r="AI30">
        <v>205.11600000000001</v>
      </c>
      <c r="AJ30">
        <v>0</v>
      </c>
      <c r="AK30">
        <v>0.48699999999999999</v>
      </c>
      <c r="AL30">
        <v>-29.010999999999999</v>
      </c>
      <c r="AM30">
        <v>360.495</v>
      </c>
      <c r="AN30">
        <v>369.03800000000001</v>
      </c>
      <c r="AO30">
        <v>18.030999999999999</v>
      </c>
      <c r="AP30">
        <v>322.90800000000002</v>
      </c>
      <c r="AQ30">
        <v>369.03800000000001</v>
      </c>
      <c r="AR30">
        <v>2459.9169999999999</v>
      </c>
      <c r="AS30">
        <v>2444.8739999999998</v>
      </c>
      <c r="AT30">
        <v>55.06</v>
      </c>
      <c r="AU30">
        <v>2306.4850000000001</v>
      </c>
      <c r="AV30">
        <v>2537.134</v>
      </c>
      <c r="AW30">
        <v>3726.2550000000001</v>
      </c>
      <c r="AX30">
        <v>3736.5059999999999</v>
      </c>
      <c r="AY30">
        <v>100.53700000000001</v>
      </c>
      <c r="AZ30">
        <v>3505.8580000000002</v>
      </c>
      <c r="BA30">
        <v>3967.1550000000002</v>
      </c>
      <c r="BB30">
        <v>1.78</v>
      </c>
      <c r="BC30">
        <v>194.81399999999999</v>
      </c>
      <c r="BD30">
        <v>195.38</v>
      </c>
      <c r="BE30">
        <v>11.291</v>
      </c>
      <c r="BF30">
        <v>173.33</v>
      </c>
      <c r="BG30">
        <v>1.089108910891089E-2</v>
      </c>
      <c r="BH30">
        <v>284.51600000000002</v>
      </c>
      <c r="BI30">
        <v>0.97376237623762374</v>
      </c>
      <c r="BJ30">
        <v>1.1140000000000001</v>
      </c>
      <c r="BK30">
        <v>-29.707999999999998</v>
      </c>
      <c r="BL30">
        <v>374.125</v>
      </c>
      <c r="BM30">
        <v>374.125</v>
      </c>
      <c r="BN30">
        <v>16.89</v>
      </c>
      <c r="BO30">
        <v>327.35899999999998</v>
      </c>
      <c r="BP30">
        <v>420.89100000000002</v>
      </c>
      <c r="BQ30">
        <v>1091.1980000000001</v>
      </c>
      <c r="BR30">
        <v>1075.6099999999999</v>
      </c>
      <c r="BS30">
        <v>117.691</v>
      </c>
      <c r="BT30">
        <v>982.07799999999997</v>
      </c>
      <c r="BU30">
        <v>1215.9069999999999</v>
      </c>
      <c r="BV30">
        <v>3570.7829999999999</v>
      </c>
      <c r="BW30">
        <v>3554.1889999999999</v>
      </c>
      <c r="BX30">
        <v>122.309</v>
      </c>
      <c r="BY30">
        <v>3086.5320000000002</v>
      </c>
      <c r="BZ30">
        <v>3881.5479999999998</v>
      </c>
      <c r="CA30">
        <v>2.02</v>
      </c>
      <c r="CB30">
        <v>5</v>
      </c>
      <c r="CC30">
        <v>1</v>
      </c>
      <c r="CD30">
        <v>1</v>
      </c>
      <c r="CE30">
        <v>3</v>
      </c>
      <c r="CF30">
        <v>3</v>
      </c>
    </row>
    <row r="31" spans="1:84" x14ac:dyDescent="0.35">
      <c r="A31" t="s">
        <v>137</v>
      </c>
      <c r="B31" t="str">
        <f t="shared" si="0"/>
        <v xml:space="preserve"> ca_mu_2005_04_28_047</v>
      </c>
      <c r="C31" s="1">
        <f t="shared" si="1"/>
        <v>45751</v>
      </c>
      <c r="D31" t="s">
        <v>78</v>
      </c>
      <c r="E31">
        <v>194.928</v>
      </c>
      <c r="F31">
        <v>194.64099999999999</v>
      </c>
      <c r="G31">
        <v>2.3250000000000002</v>
      </c>
      <c r="H31">
        <v>191.26400000000001</v>
      </c>
      <c r="I31">
        <v>0.2907514450867052</v>
      </c>
      <c r="J31">
        <v>211.43799999999999</v>
      </c>
      <c r="K31">
        <v>0</v>
      </c>
      <c r="L31">
        <v>0.32100000000000001</v>
      </c>
      <c r="M31">
        <v>-28.494</v>
      </c>
      <c r="N31">
        <v>591.98400000000004</v>
      </c>
      <c r="O31">
        <v>598.43399999999997</v>
      </c>
      <c r="P31">
        <v>70.790999999999997</v>
      </c>
      <c r="Q31">
        <v>368.267</v>
      </c>
      <c r="R31">
        <v>966.70100000000002</v>
      </c>
      <c r="S31">
        <v>1170.296</v>
      </c>
      <c r="T31">
        <v>1150.835</v>
      </c>
      <c r="U31">
        <v>79.078000000000003</v>
      </c>
      <c r="V31">
        <v>1012.735</v>
      </c>
      <c r="W31">
        <v>1381.002</v>
      </c>
      <c r="X31">
        <v>2902.4349999999999</v>
      </c>
      <c r="Y31">
        <v>2900.1039999999998</v>
      </c>
      <c r="Z31">
        <v>93.058000000000007</v>
      </c>
      <c r="AA31">
        <v>2623.904</v>
      </c>
      <c r="AB31">
        <v>3314.4050000000002</v>
      </c>
      <c r="AC31">
        <v>3.46</v>
      </c>
      <c r="AD31">
        <v>195.417</v>
      </c>
      <c r="AE31">
        <v>195.13300000000001</v>
      </c>
      <c r="AF31">
        <v>3.427</v>
      </c>
      <c r="AG31">
        <v>187.774</v>
      </c>
      <c r="AH31">
        <v>2.7806122448979592E-2</v>
      </c>
      <c r="AI31">
        <v>226.154</v>
      </c>
      <c r="AJ31">
        <v>0</v>
      </c>
      <c r="AK31">
        <v>0.372</v>
      </c>
      <c r="AL31">
        <v>-30.233000000000001</v>
      </c>
      <c r="AM31">
        <v>365.084</v>
      </c>
      <c r="AN31">
        <v>369.03800000000001</v>
      </c>
      <c r="AO31">
        <v>12.951000000000001</v>
      </c>
      <c r="AP31">
        <v>322.90800000000002</v>
      </c>
      <c r="AQ31">
        <v>369.03800000000001</v>
      </c>
      <c r="AR31">
        <v>2606.5050000000001</v>
      </c>
      <c r="AS31">
        <v>2629.393</v>
      </c>
      <c r="AT31">
        <v>29.936</v>
      </c>
      <c r="AU31">
        <v>2537.134</v>
      </c>
      <c r="AV31">
        <v>2675.5230000000001</v>
      </c>
      <c r="AW31">
        <v>3251.7579999999998</v>
      </c>
      <c r="AX31">
        <v>3182.95</v>
      </c>
      <c r="AY31">
        <v>191.036</v>
      </c>
      <c r="AZ31">
        <v>2906.172</v>
      </c>
      <c r="BA31">
        <v>3782.636</v>
      </c>
      <c r="BB31">
        <v>3.92</v>
      </c>
      <c r="BC31">
        <v>196.34800000000001</v>
      </c>
      <c r="BD31">
        <v>196.374</v>
      </c>
      <c r="BE31">
        <v>2.1560000000000001</v>
      </c>
      <c r="BF31">
        <v>177.92500000000001</v>
      </c>
      <c r="BG31">
        <v>0</v>
      </c>
      <c r="BH31">
        <v>202.29400000000001</v>
      </c>
      <c r="BI31">
        <v>0.86091954022988504</v>
      </c>
      <c r="BJ31">
        <v>0.379</v>
      </c>
      <c r="BK31">
        <v>-27.657</v>
      </c>
      <c r="BL31">
        <v>370.68599999999998</v>
      </c>
      <c r="BM31">
        <v>370.97800000000001</v>
      </c>
      <c r="BN31">
        <v>3678</v>
      </c>
      <c r="BO31">
        <v>324.60599999999999</v>
      </c>
      <c r="BP31">
        <v>370.97800000000001</v>
      </c>
      <c r="BQ31">
        <v>955.98199999999997</v>
      </c>
      <c r="BR31">
        <v>973.81700000000001</v>
      </c>
      <c r="BS31">
        <v>29.12</v>
      </c>
      <c r="BT31">
        <v>927.44500000000005</v>
      </c>
      <c r="BU31">
        <v>1020.189</v>
      </c>
      <c r="BV31">
        <v>3590.0810000000001</v>
      </c>
      <c r="BW31">
        <v>3756.1509999999998</v>
      </c>
      <c r="BX31">
        <v>312.15800000000002</v>
      </c>
      <c r="BY31">
        <v>2550.473</v>
      </c>
      <c r="BZ31">
        <v>3941.64</v>
      </c>
      <c r="CA31">
        <v>3.48</v>
      </c>
      <c r="CB31">
        <v>5</v>
      </c>
      <c r="CC31">
        <v>1</v>
      </c>
      <c r="CD31">
        <v>0</v>
      </c>
      <c r="CE31">
        <v>3</v>
      </c>
      <c r="CF31">
        <v>2</v>
      </c>
    </row>
    <row r="32" spans="1:84" x14ac:dyDescent="0.35">
      <c r="A32" t="s">
        <v>179</v>
      </c>
      <c r="B32" t="str">
        <f t="shared" si="0"/>
        <v xml:space="preserve"> ca_pa_2005_04_20_282</v>
      </c>
      <c r="C32" s="1">
        <f t="shared" si="1"/>
        <v>45753</v>
      </c>
      <c r="D32" t="s">
        <v>78</v>
      </c>
      <c r="E32">
        <v>177.238</v>
      </c>
      <c r="F32">
        <v>176.19900000000001</v>
      </c>
      <c r="G32">
        <v>9.7739999999999991</v>
      </c>
      <c r="H32">
        <v>165.16900000000001</v>
      </c>
      <c r="I32">
        <v>0.98461538461538456</v>
      </c>
      <c r="J32">
        <v>252</v>
      </c>
      <c r="K32">
        <v>1.1538461538461539E-2</v>
      </c>
      <c r="L32">
        <v>1.4650000000000001</v>
      </c>
      <c r="M32">
        <v>-23.856000000000002</v>
      </c>
      <c r="N32">
        <v>334.81099999999998</v>
      </c>
      <c r="O32">
        <v>339.88400000000001</v>
      </c>
      <c r="P32">
        <v>43.454000000000001</v>
      </c>
      <c r="Q32">
        <v>297.399</v>
      </c>
      <c r="R32">
        <v>594.798</v>
      </c>
      <c r="X32">
        <v>3805.143</v>
      </c>
      <c r="Y32">
        <v>3781.2139999999999</v>
      </c>
      <c r="Z32">
        <v>118.532</v>
      </c>
      <c r="AA32">
        <v>3483.8150000000001</v>
      </c>
      <c r="AB32">
        <v>4163.5839999999998</v>
      </c>
      <c r="AC32">
        <v>2.08</v>
      </c>
      <c r="AD32">
        <v>178.13399999999999</v>
      </c>
      <c r="AE32">
        <v>176.905</v>
      </c>
      <c r="AF32">
        <v>6.6630000000000003</v>
      </c>
      <c r="AG32">
        <v>171.786</v>
      </c>
      <c r="AH32">
        <v>3.3333333333333326E-2</v>
      </c>
      <c r="AI32">
        <v>222.08600000000001</v>
      </c>
      <c r="AJ32">
        <v>1.111111111111111E-2</v>
      </c>
      <c r="AK32">
        <v>0.84399999999999997</v>
      </c>
      <c r="AL32">
        <v>-23.843</v>
      </c>
      <c r="AM32">
        <v>337.91800000000001</v>
      </c>
      <c r="AN32">
        <v>338.58</v>
      </c>
      <c r="AO32">
        <v>5.29</v>
      </c>
      <c r="AP32">
        <v>296.25700000000001</v>
      </c>
      <c r="AQ32">
        <v>338.58</v>
      </c>
      <c r="AR32">
        <v>1608.2529999999999</v>
      </c>
      <c r="AS32">
        <v>1608.2529999999999</v>
      </c>
      <c r="AT32">
        <v>0</v>
      </c>
      <c r="AU32">
        <v>1608.2529999999999</v>
      </c>
      <c r="AV32">
        <v>1608.2529999999999</v>
      </c>
      <c r="AW32">
        <v>3712.15</v>
      </c>
      <c r="AX32">
        <v>3682.0540000000001</v>
      </c>
      <c r="AY32">
        <v>125.01</v>
      </c>
      <c r="AZ32">
        <v>3470.4409999999998</v>
      </c>
      <c r="BA32">
        <v>4274.5680000000002</v>
      </c>
      <c r="BB32">
        <v>2.16</v>
      </c>
      <c r="BC32">
        <v>178.416</v>
      </c>
      <c r="BD32">
        <v>177.21</v>
      </c>
      <c r="BE32">
        <v>14.114000000000001</v>
      </c>
      <c r="BF32">
        <v>94.692999999999998</v>
      </c>
      <c r="BG32">
        <v>2.2429906542056073E-2</v>
      </c>
      <c r="BH32">
        <v>261.83199999999999</v>
      </c>
      <c r="BI32">
        <v>1.1214953271028037E-2</v>
      </c>
      <c r="BJ32">
        <v>3.5449999999999999</v>
      </c>
      <c r="BK32">
        <v>-23.562999999999999</v>
      </c>
      <c r="BL32">
        <v>341.35599999999999</v>
      </c>
      <c r="BM32">
        <v>337.93099999999998</v>
      </c>
      <c r="BN32">
        <v>26.859000000000002</v>
      </c>
      <c r="BO32">
        <v>295.69</v>
      </c>
      <c r="BP32">
        <v>549.13800000000003</v>
      </c>
      <c r="BQ32">
        <v>1562.931</v>
      </c>
      <c r="BR32">
        <v>1562.931</v>
      </c>
      <c r="BS32">
        <v>0</v>
      </c>
      <c r="BT32">
        <v>1562.931</v>
      </c>
      <c r="BU32">
        <v>1562.931</v>
      </c>
      <c r="BV32">
        <v>3786.5360000000001</v>
      </c>
      <c r="BW32">
        <v>3759.4830000000002</v>
      </c>
      <c r="BX32">
        <v>146.08500000000001</v>
      </c>
      <c r="BY32">
        <v>3590.5169999999998</v>
      </c>
      <c r="BZ32">
        <v>4477.5860000000002</v>
      </c>
      <c r="CA32">
        <v>2.14</v>
      </c>
      <c r="CB32">
        <v>6</v>
      </c>
      <c r="CC32">
        <v>1</v>
      </c>
      <c r="CD32">
        <v>0</v>
      </c>
      <c r="CE32">
        <v>3</v>
      </c>
      <c r="CF32">
        <v>0</v>
      </c>
    </row>
    <row r="33" spans="1:84" x14ac:dyDescent="0.35">
      <c r="A33" t="s">
        <v>180</v>
      </c>
      <c r="B33" t="str">
        <f t="shared" si="0"/>
        <v xml:space="preserve"> ca_po_2005_11_08_041</v>
      </c>
      <c r="C33" s="1">
        <f t="shared" si="1"/>
        <v>45753</v>
      </c>
      <c r="D33" t="s">
        <v>78</v>
      </c>
      <c r="E33">
        <v>182.82900000000001</v>
      </c>
      <c r="F33">
        <v>182.285</v>
      </c>
      <c r="G33">
        <v>1.6739999999999999</v>
      </c>
      <c r="H33">
        <v>179.58099999999999</v>
      </c>
      <c r="I33">
        <v>0</v>
      </c>
      <c r="J33">
        <v>187.66</v>
      </c>
      <c r="K33">
        <v>2.0175438596491228E-2</v>
      </c>
      <c r="L33">
        <v>0.43</v>
      </c>
      <c r="M33">
        <v>-23.094000000000001</v>
      </c>
      <c r="N33">
        <v>769.10199999999998</v>
      </c>
      <c r="O33">
        <v>740.07899999999995</v>
      </c>
      <c r="P33">
        <v>74.777000000000001</v>
      </c>
      <c r="Q33">
        <v>653.01099999999997</v>
      </c>
      <c r="R33">
        <v>1044.817</v>
      </c>
      <c r="S33">
        <v>1160.9079999999999</v>
      </c>
      <c r="T33">
        <v>1175.42</v>
      </c>
      <c r="U33">
        <v>63.712000000000003</v>
      </c>
      <c r="V33">
        <v>1044.817</v>
      </c>
      <c r="W33">
        <v>1436.624</v>
      </c>
      <c r="X33">
        <v>2414.326</v>
      </c>
      <c r="Y33">
        <v>2394.373</v>
      </c>
      <c r="Z33">
        <v>47.484000000000002</v>
      </c>
      <c r="AA33">
        <v>2307.3049999999998</v>
      </c>
      <c r="AB33">
        <v>2524.9749999999999</v>
      </c>
      <c r="AC33">
        <v>1.1399999999999999</v>
      </c>
      <c r="AD33">
        <v>186.142</v>
      </c>
      <c r="AE33">
        <v>184.685</v>
      </c>
      <c r="AF33">
        <v>3.9580000000000002</v>
      </c>
      <c r="AG33">
        <v>182.339</v>
      </c>
      <c r="AH33">
        <v>0.33245614035087723</v>
      </c>
      <c r="AI33">
        <v>202.029</v>
      </c>
      <c r="AJ33">
        <v>1.754385964912281E-2</v>
      </c>
      <c r="AK33">
        <v>0.53300000000000003</v>
      </c>
      <c r="AL33">
        <v>-27.504999999999999</v>
      </c>
      <c r="AM33">
        <v>365.53</v>
      </c>
      <c r="AN33">
        <v>363.71100000000001</v>
      </c>
      <c r="AO33">
        <v>9</v>
      </c>
      <c r="AP33">
        <v>363.71100000000001</v>
      </c>
      <c r="AQ33">
        <v>409.17500000000001</v>
      </c>
      <c r="AR33">
        <v>2345.9380000000001</v>
      </c>
      <c r="AS33">
        <v>2341.3919999999998</v>
      </c>
      <c r="AT33">
        <v>70.552000000000007</v>
      </c>
      <c r="AU33">
        <v>2227.732</v>
      </c>
      <c r="AV33">
        <v>2500.5149999999999</v>
      </c>
      <c r="AW33">
        <v>2792.3939999999998</v>
      </c>
      <c r="AX33">
        <v>2796.0309999999999</v>
      </c>
      <c r="AY33">
        <v>105.565</v>
      </c>
      <c r="AZ33">
        <v>2545.9789999999998</v>
      </c>
      <c r="BA33">
        <v>2955.1550000000002</v>
      </c>
      <c r="BB33">
        <v>1.1399999999999999</v>
      </c>
      <c r="BC33">
        <v>184.554</v>
      </c>
      <c r="BD33">
        <v>185.964</v>
      </c>
      <c r="BE33">
        <v>13.368</v>
      </c>
      <c r="BF33">
        <v>121.297</v>
      </c>
      <c r="BG33">
        <v>0.94736842105263175</v>
      </c>
      <c r="BH33">
        <v>198.393</v>
      </c>
      <c r="BI33">
        <v>0</v>
      </c>
      <c r="BJ33">
        <v>1.58</v>
      </c>
      <c r="BK33">
        <v>-27.536000000000001</v>
      </c>
      <c r="BL33">
        <v>396.47199999999998</v>
      </c>
      <c r="BM33">
        <v>400.101</v>
      </c>
      <c r="BN33">
        <v>25.402999999999999</v>
      </c>
      <c r="BO33">
        <v>355.64499999999998</v>
      </c>
      <c r="BP33">
        <v>444.55599999999998</v>
      </c>
      <c r="BQ33">
        <v>1066.9349999999999</v>
      </c>
      <c r="BR33">
        <v>1022.48</v>
      </c>
      <c r="BS33">
        <v>76.998999999999995</v>
      </c>
      <c r="BT33">
        <v>1022.48</v>
      </c>
      <c r="BU33">
        <v>1155.847</v>
      </c>
      <c r="BV33">
        <v>2919.556</v>
      </c>
      <c r="BW33">
        <v>2889.6170000000002</v>
      </c>
      <c r="BX33">
        <v>168.40100000000001</v>
      </c>
      <c r="BY33">
        <v>2711.7939999999999</v>
      </c>
      <c r="BZ33">
        <v>3378.6289999999999</v>
      </c>
      <c r="CA33">
        <v>1.1399999999999999</v>
      </c>
      <c r="CB33">
        <v>4</v>
      </c>
      <c r="CC33">
        <v>1</v>
      </c>
      <c r="CD33">
        <v>0</v>
      </c>
      <c r="CE33">
        <v>3</v>
      </c>
      <c r="CF33">
        <v>1</v>
      </c>
    </row>
    <row r="34" spans="1:84" x14ac:dyDescent="0.35">
      <c r="A34" t="s">
        <v>198</v>
      </c>
      <c r="B34" t="str">
        <f t="shared" ref="B34:B65" si="2">_xlfn.TEXTAFTER(A34,"-")</f>
        <v xml:space="preserve"> ca_ro_2004_09_03_927</v>
      </c>
      <c r="C34" s="1">
        <f t="shared" ref="C34:C65" si="3">DATEVALUE(SUBSTITUTE(_xlfn.TEXTAFTER(_xlfn.TEXTBEFORE(A34," -"),"a2_"),"_","/"))</f>
        <v>45756</v>
      </c>
      <c r="D34" t="s">
        <v>78</v>
      </c>
      <c r="E34">
        <v>179.07</v>
      </c>
      <c r="F34">
        <v>178.95699999999999</v>
      </c>
      <c r="G34">
        <v>3.46</v>
      </c>
      <c r="H34">
        <v>171.12</v>
      </c>
      <c r="I34">
        <v>0.12818181818181815</v>
      </c>
      <c r="J34">
        <v>200.45500000000001</v>
      </c>
      <c r="K34">
        <v>0</v>
      </c>
      <c r="L34">
        <v>0.70799999999999996</v>
      </c>
      <c r="M34">
        <v>-18.277000000000001</v>
      </c>
      <c r="N34">
        <v>804.65</v>
      </c>
      <c r="O34">
        <v>816.66700000000003</v>
      </c>
      <c r="P34">
        <v>68.364000000000004</v>
      </c>
      <c r="Q34">
        <v>515.78899999999999</v>
      </c>
      <c r="R34">
        <v>945.61400000000003</v>
      </c>
      <c r="S34">
        <v>1170.694</v>
      </c>
      <c r="T34">
        <v>1160.5260000000001</v>
      </c>
      <c r="U34">
        <v>58.220999999999997</v>
      </c>
      <c r="V34">
        <v>1074.5609999999999</v>
      </c>
      <c r="W34">
        <v>1375.4390000000001</v>
      </c>
      <c r="X34">
        <v>2607.14</v>
      </c>
      <c r="Y34">
        <v>2578.9470000000001</v>
      </c>
      <c r="Z34">
        <v>176.82400000000001</v>
      </c>
      <c r="AA34">
        <v>2192.105</v>
      </c>
      <c r="AB34">
        <v>3094.7370000000001</v>
      </c>
      <c r="AC34">
        <v>2.2000000000000002</v>
      </c>
      <c r="AD34">
        <v>180.238</v>
      </c>
      <c r="AE34">
        <v>178.80099999999999</v>
      </c>
      <c r="AF34">
        <v>11.446</v>
      </c>
      <c r="AG34">
        <v>173.13499999999999</v>
      </c>
      <c r="AH34">
        <v>0.60818965517241386</v>
      </c>
      <c r="AI34">
        <v>280.892</v>
      </c>
      <c r="AJ34">
        <v>1.0344827586206898E-2</v>
      </c>
      <c r="AK34">
        <v>1.2529999999999999</v>
      </c>
      <c r="AL34">
        <v>-23.391999999999999</v>
      </c>
      <c r="AM34">
        <v>343.98200000000003</v>
      </c>
      <c r="AN34">
        <v>343.52499999999998</v>
      </c>
      <c r="AO34">
        <v>11.772</v>
      </c>
      <c r="AP34">
        <v>300.584</v>
      </c>
      <c r="AQ34">
        <v>429.40600000000001</v>
      </c>
      <c r="AR34">
        <v>1541.836</v>
      </c>
      <c r="AS34">
        <v>1545.8620000000001</v>
      </c>
      <c r="AT34">
        <v>98.921000000000006</v>
      </c>
      <c r="AU34">
        <v>1331.1590000000001</v>
      </c>
      <c r="AV34">
        <v>1846.4459999999999</v>
      </c>
      <c r="AW34">
        <v>3638.9969999999998</v>
      </c>
      <c r="AX34">
        <v>3649.951</v>
      </c>
      <c r="AY34">
        <v>210.75399999999999</v>
      </c>
      <c r="AZ34">
        <v>2834.08</v>
      </c>
      <c r="BA34">
        <v>4208.1790000000001</v>
      </c>
      <c r="BB34">
        <v>2.3199999999999998</v>
      </c>
      <c r="BC34">
        <v>181.46100000000001</v>
      </c>
      <c r="BD34">
        <v>179.16399999999999</v>
      </c>
      <c r="BE34">
        <v>9.8320000000000007</v>
      </c>
      <c r="BF34">
        <v>172.74799999999999</v>
      </c>
      <c r="BG34">
        <v>0.96306306306306289</v>
      </c>
      <c r="BH34">
        <v>260.947</v>
      </c>
      <c r="BI34">
        <v>1.0360360360360359E-2</v>
      </c>
      <c r="BJ34">
        <v>1.2330000000000001</v>
      </c>
      <c r="BK34">
        <v>-21.905000000000001</v>
      </c>
      <c r="BL34">
        <v>412.93700000000001</v>
      </c>
      <c r="BM34">
        <v>434.911</v>
      </c>
      <c r="BN34">
        <v>26.82</v>
      </c>
      <c r="BO34">
        <v>347.92899999999997</v>
      </c>
      <c r="BP34">
        <v>478.40199999999999</v>
      </c>
      <c r="BQ34">
        <v>1012.473</v>
      </c>
      <c r="BR34">
        <v>1000.296</v>
      </c>
      <c r="BS34">
        <v>31.622</v>
      </c>
      <c r="BT34">
        <v>956.80499999999995</v>
      </c>
      <c r="BU34">
        <v>1217.751</v>
      </c>
      <c r="BV34">
        <v>2793.5039999999999</v>
      </c>
      <c r="BW34">
        <v>2783.4319999999998</v>
      </c>
      <c r="BX34">
        <v>164.751</v>
      </c>
      <c r="BY34">
        <v>2478.9940000000001</v>
      </c>
      <c r="BZ34">
        <v>3392.308</v>
      </c>
      <c r="CA34">
        <v>2.2200000000000002</v>
      </c>
      <c r="CB34">
        <v>6</v>
      </c>
      <c r="CC34">
        <v>1</v>
      </c>
      <c r="CD34">
        <v>1</v>
      </c>
      <c r="CE34">
        <v>2</v>
      </c>
      <c r="CF34">
        <v>3</v>
      </c>
    </row>
    <row r="35" spans="1:84" x14ac:dyDescent="0.35">
      <c r="A35" t="s">
        <v>176</v>
      </c>
      <c r="B35" t="str">
        <f t="shared" si="2"/>
        <v xml:space="preserve"> ca_te_2005_07_04_549</v>
      </c>
      <c r="C35" s="1">
        <f t="shared" si="3"/>
        <v>38448</v>
      </c>
      <c r="D35" t="s">
        <v>78</v>
      </c>
      <c r="E35">
        <v>183.41</v>
      </c>
      <c r="F35">
        <v>182.23099999999999</v>
      </c>
      <c r="G35">
        <v>4.2089999999999996</v>
      </c>
      <c r="H35">
        <v>181.16200000000001</v>
      </c>
      <c r="I35">
        <v>0.6</v>
      </c>
      <c r="J35">
        <v>208.44</v>
      </c>
      <c r="K35">
        <v>0</v>
      </c>
      <c r="L35">
        <v>0.41099999999999998</v>
      </c>
      <c r="M35">
        <v>-24.667000000000002</v>
      </c>
      <c r="N35">
        <v>779.14</v>
      </c>
      <c r="O35">
        <v>789.06600000000003</v>
      </c>
      <c r="P35">
        <v>71.744</v>
      </c>
      <c r="Q35">
        <v>394.53300000000002</v>
      </c>
      <c r="R35">
        <v>964.41399999999999</v>
      </c>
      <c r="S35">
        <v>1087.329</v>
      </c>
      <c r="T35">
        <v>1095.924</v>
      </c>
      <c r="U35">
        <v>47.23</v>
      </c>
      <c r="V35">
        <v>1008.25</v>
      </c>
      <c r="W35">
        <v>1358.9459999999999</v>
      </c>
      <c r="X35">
        <v>2647.5880000000002</v>
      </c>
      <c r="Y35">
        <v>2674.056</v>
      </c>
      <c r="Z35">
        <v>122.593</v>
      </c>
      <c r="AA35">
        <v>2279.5230000000001</v>
      </c>
      <c r="AB35">
        <v>2893.241</v>
      </c>
      <c r="AC35">
        <v>1.24</v>
      </c>
      <c r="AD35">
        <v>205.595</v>
      </c>
      <c r="AE35">
        <v>206.14400000000001</v>
      </c>
      <c r="AF35">
        <v>2.2629999999999999</v>
      </c>
      <c r="AG35">
        <v>197.631</v>
      </c>
      <c r="AH35">
        <v>0.97407407407407409</v>
      </c>
      <c r="AI35">
        <v>208.44</v>
      </c>
      <c r="AJ35">
        <v>0.51574074074074072</v>
      </c>
      <c r="AK35">
        <v>0.42</v>
      </c>
      <c r="AL35">
        <v>-30.251000000000001</v>
      </c>
      <c r="AM35">
        <v>385.19600000000003</v>
      </c>
      <c r="AN35">
        <v>395.07299999999998</v>
      </c>
      <c r="AO35">
        <v>19.954000000000001</v>
      </c>
      <c r="AP35">
        <v>345.68900000000002</v>
      </c>
      <c r="AQ35">
        <v>395.07299999999998</v>
      </c>
      <c r="AR35">
        <v>2359.04</v>
      </c>
      <c r="AS35">
        <v>2419.8209999999999</v>
      </c>
      <c r="AT35">
        <v>146.56700000000001</v>
      </c>
      <c r="AU35">
        <v>1827.212</v>
      </c>
      <c r="AV35">
        <v>2469.2049999999999</v>
      </c>
      <c r="AW35">
        <v>3520.5160000000001</v>
      </c>
      <c r="AX35">
        <v>3555.6550000000002</v>
      </c>
      <c r="AY35">
        <v>275.79899999999998</v>
      </c>
      <c r="AZ35">
        <v>2617.357</v>
      </c>
      <c r="BA35">
        <v>4049.4960000000001</v>
      </c>
      <c r="BB35">
        <v>1.08</v>
      </c>
      <c r="BC35">
        <v>205.48500000000001</v>
      </c>
      <c r="BD35">
        <v>204.98</v>
      </c>
      <c r="BE35">
        <v>4.2089999999999996</v>
      </c>
      <c r="BF35">
        <v>197.001</v>
      </c>
      <c r="BG35">
        <v>7.9411764705882348E-2</v>
      </c>
      <c r="BH35">
        <v>222.727</v>
      </c>
      <c r="BI35">
        <v>0.97549019607843135</v>
      </c>
      <c r="BJ35">
        <v>0.54600000000000004</v>
      </c>
      <c r="BK35">
        <v>-30.562000000000001</v>
      </c>
      <c r="BL35">
        <v>410.32600000000002</v>
      </c>
      <c r="BM35">
        <v>402.28100000000001</v>
      </c>
      <c r="BN35">
        <v>34.241</v>
      </c>
      <c r="BO35">
        <v>351.995</v>
      </c>
      <c r="BP35">
        <v>603.42100000000005</v>
      </c>
      <c r="BQ35">
        <v>1077.106</v>
      </c>
      <c r="BR35">
        <v>1055.9860000000001</v>
      </c>
      <c r="BS35">
        <v>94.260999999999996</v>
      </c>
      <c r="BT35">
        <v>1005.701</v>
      </c>
      <c r="BU35">
        <v>1609.1220000000001</v>
      </c>
      <c r="BV35">
        <v>3267.5230000000001</v>
      </c>
      <c r="BW35">
        <v>3318.8139999999999</v>
      </c>
      <c r="BX35">
        <v>341.88</v>
      </c>
      <c r="BY35">
        <v>2514.2530000000002</v>
      </c>
      <c r="BZ35">
        <v>3871.95</v>
      </c>
      <c r="CA35">
        <v>1.02</v>
      </c>
      <c r="CB35">
        <v>4</v>
      </c>
      <c r="CC35">
        <v>5</v>
      </c>
      <c r="CD35">
        <v>3</v>
      </c>
      <c r="CE35">
        <v>3</v>
      </c>
      <c r="CF35">
        <v>4</v>
      </c>
    </row>
    <row r="36" spans="1:84" x14ac:dyDescent="0.35">
      <c r="A36" t="s">
        <v>115</v>
      </c>
      <c r="B36" t="str">
        <f t="shared" si="2"/>
        <v xml:space="preserve"> ca_ur_2005_01_27_051</v>
      </c>
      <c r="C36" s="1">
        <f t="shared" si="3"/>
        <v>45750</v>
      </c>
      <c r="D36" t="s">
        <v>78</v>
      </c>
      <c r="E36">
        <v>224.167</v>
      </c>
      <c r="F36">
        <v>224.18299999999999</v>
      </c>
      <c r="G36">
        <v>0.91900000000000004</v>
      </c>
      <c r="H36">
        <v>218.93600000000001</v>
      </c>
      <c r="I36">
        <v>0</v>
      </c>
      <c r="J36">
        <v>226.81899999999999</v>
      </c>
      <c r="K36">
        <v>0.95192307692307698</v>
      </c>
      <c r="L36">
        <v>0.19700000000000001</v>
      </c>
      <c r="M36">
        <v>-26.244</v>
      </c>
      <c r="N36">
        <v>636.49800000000005</v>
      </c>
      <c r="O36">
        <v>650.12300000000005</v>
      </c>
      <c r="P36">
        <v>30.738</v>
      </c>
      <c r="Q36">
        <v>541.76900000000001</v>
      </c>
      <c r="R36">
        <v>758.47699999999998</v>
      </c>
      <c r="S36">
        <v>1334.633</v>
      </c>
      <c r="T36">
        <v>1354.423</v>
      </c>
      <c r="U36">
        <v>75.772999999999996</v>
      </c>
      <c r="V36">
        <v>1191.8920000000001</v>
      </c>
      <c r="W36">
        <v>1462.7760000000001</v>
      </c>
      <c r="X36">
        <v>3712.2530000000002</v>
      </c>
      <c r="Y36">
        <v>3738.2060000000001</v>
      </c>
      <c r="Z36">
        <v>254.101</v>
      </c>
      <c r="AA36">
        <v>2979.73</v>
      </c>
      <c r="AB36">
        <v>4388.3289999999997</v>
      </c>
      <c r="AC36">
        <v>3.12</v>
      </c>
      <c r="AD36">
        <v>229.65700000000001</v>
      </c>
      <c r="AE36">
        <v>228.83600000000001</v>
      </c>
      <c r="AF36">
        <v>9.7309999999999999</v>
      </c>
      <c r="AG36">
        <v>214.078</v>
      </c>
      <c r="AH36">
        <v>1.0285714285714285E-2</v>
      </c>
      <c r="AI36">
        <v>341.86</v>
      </c>
      <c r="AJ36">
        <v>0</v>
      </c>
      <c r="AK36">
        <v>0.48799999999999999</v>
      </c>
      <c r="AL36">
        <v>-31.702999999999999</v>
      </c>
      <c r="AM36">
        <v>291.56799999999998</v>
      </c>
      <c r="AN36">
        <v>279.46800000000002</v>
      </c>
      <c r="AO36">
        <v>30.350999999999999</v>
      </c>
      <c r="AP36">
        <v>279.46800000000002</v>
      </c>
      <c r="AQ36">
        <v>558.93499999999995</v>
      </c>
      <c r="AR36">
        <v>2507.8429999999998</v>
      </c>
      <c r="AS36">
        <v>2515.2089999999998</v>
      </c>
      <c r="AT36">
        <v>71.037999999999997</v>
      </c>
      <c r="AU36">
        <v>2235.741</v>
      </c>
      <c r="AV36">
        <v>2626.9960000000001</v>
      </c>
      <c r="AW36">
        <v>3802.201</v>
      </c>
      <c r="AX36">
        <v>3800.76</v>
      </c>
      <c r="AY36">
        <v>203.36099999999999</v>
      </c>
      <c r="AZ36">
        <v>2850.57</v>
      </c>
      <c r="BA36">
        <v>4303.8019999999997</v>
      </c>
      <c r="BB36">
        <v>3.5</v>
      </c>
      <c r="BC36">
        <v>231.94</v>
      </c>
      <c r="BD36">
        <v>232.10499999999999</v>
      </c>
      <c r="BE36">
        <v>2.0110000000000001</v>
      </c>
      <c r="BF36">
        <v>223.858</v>
      </c>
      <c r="BG36">
        <v>0</v>
      </c>
      <c r="BH36">
        <v>236.00899999999999</v>
      </c>
      <c r="BI36">
        <v>0.51885714285714291</v>
      </c>
      <c r="BJ36">
        <v>0.27500000000000002</v>
      </c>
      <c r="BK36">
        <v>-32.223999999999997</v>
      </c>
      <c r="BL36">
        <v>383.96899999999999</v>
      </c>
      <c r="BM36">
        <v>395.262</v>
      </c>
      <c r="BN36">
        <v>26.021999999999998</v>
      </c>
      <c r="BO36">
        <v>338.79599999999999</v>
      </c>
      <c r="BP36">
        <v>508.19499999999999</v>
      </c>
      <c r="BQ36">
        <v>1047.759</v>
      </c>
      <c r="BR36">
        <v>1072.855</v>
      </c>
      <c r="BS36">
        <v>29.76</v>
      </c>
      <c r="BT36">
        <v>1016.389</v>
      </c>
      <c r="BU36">
        <v>1072.855</v>
      </c>
      <c r="BV36">
        <v>4541.4849999999997</v>
      </c>
      <c r="BW36">
        <v>4573.7520000000004</v>
      </c>
      <c r="BX36">
        <v>152.804</v>
      </c>
      <c r="BY36">
        <v>4122.0230000000001</v>
      </c>
      <c r="BZ36">
        <v>4856.0820000000003</v>
      </c>
      <c r="CA36">
        <v>3.5</v>
      </c>
      <c r="CB36">
        <v>8</v>
      </c>
      <c r="CC36">
        <v>2</v>
      </c>
      <c r="CD36">
        <v>1</v>
      </c>
      <c r="CE36">
        <v>3</v>
      </c>
      <c r="CF36">
        <v>5</v>
      </c>
    </row>
    <row r="37" spans="1:84" x14ac:dyDescent="0.35">
      <c r="A37" t="s">
        <v>181</v>
      </c>
      <c r="B37" t="str">
        <f t="shared" si="2"/>
        <v xml:space="preserve"> ch_ar_1987_08_23_929</v>
      </c>
      <c r="C37" s="1">
        <f t="shared" si="3"/>
        <v>45753</v>
      </c>
      <c r="D37" t="s">
        <v>78</v>
      </c>
      <c r="E37">
        <v>123.026</v>
      </c>
      <c r="F37">
        <v>122.622</v>
      </c>
      <c r="G37">
        <v>2.0310000000000001</v>
      </c>
      <c r="H37">
        <v>119.42</v>
      </c>
      <c r="I37">
        <v>0.99957983193277311</v>
      </c>
      <c r="J37">
        <v>136.11099999999999</v>
      </c>
      <c r="K37">
        <v>8.4033613445378165E-3</v>
      </c>
      <c r="L37">
        <v>0.436</v>
      </c>
      <c r="M37">
        <v>-18.177</v>
      </c>
      <c r="N37">
        <v>868.09699999999998</v>
      </c>
      <c r="O37">
        <v>864.70600000000002</v>
      </c>
      <c r="P37">
        <v>80.688999999999993</v>
      </c>
      <c r="Q37">
        <v>490</v>
      </c>
      <c r="R37">
        <v>1008.824</v>
      </c>
      <c r="S37">
        <v>1133.867</v>
      </c>
      <c r="T37">
        <v>1124.1179999999999</v>
      </c>
      <c r="U37">
        <v>22.053000000000001</v>
      </c>
      <c r="V37">
        <v>1095.2940000000001</v>
      </c>
      <c r="W37">
        <v>1210.588</v>
      </c>
      <c r="X37">
        <v>2902.6990000000001</v>
      </c>
      <c r="Y37">
        <v>2882.3530000000001</v>
      </c>
      <c r="Z37">
        <v>102.551</v>
      </c>
      <c r="AA37">
        <v>2680.5880000000002</v>
      </c>
      <c r="AB37">
        <v>3285.8820000000001</v>
      </c>
      <c r="AC37">
        <v>2.38</v>
      </c>
      <c r="AD37">
        <v>122.55</v>
      </c>
      <c r="AE37">
        <v>121.321</v>
      </c>
      <c r="AF37">
        <v>4.6120000000000001</v>
      </c>
      <c r="AG37">
        <v>113.49299999999999</v>
      </c>
      <c r="AH37">
        <v>0.9833333333333335</v>
      </c>
      <c r="AI37">
        <v>135.63300000000001</v>
      </c>
      <c r="AJ37">
        <v>3.0341880341880342E-2</v>
      </c>
      <c r="AK37">
        <v>0.49199999999999999</v>
      </c>
      <c r="AL37">
        <v>-26.367000000000001</v>
      </c>
      <c r="AM37">
        <v>355.11200000000002</v>
      </c>
      <c r="AN37">
        <v>344.08300000000003</v>
      </c>
      <c r="AO37">
        <v>14.058</v>
      </c>
      <c r="AP37">
        <v>344.08300000000003</v>
      </c>
      <c r="AQ37">
        <v>372.75700000000001</v>
      </c>
      <c r="AR37">
        <v>2395.9839999999999</v>
      </c>
      <c r="AS37">
        <v>2408.5830000000001</v>
      </c>
      <c r="AT37">
        <v>33.030999999999999</v>
      </c>
      <c r="AU37">
        <v>2236.5410000000002</v>
      </c>
      <c r="AV37">
        <v>2465.9299999999998</v>
      </c>
      <c r="AW37">
        <v>3436.922</v>
      </c>
      <c r="AX37">
        <v>3440.8319999999999</v>
      </c>
      <c r="AY37">
        <v>68.39</v>
      </c>
      <c r="AZ37">
        <v>3211.4430000000002</v>
      </c>
      <c r="BA37">
        <v>3555.527</v>
      </c>
      <c r="BB37">
        <v>2.34</v>
      </c>
      <c r="BC37">
        <v>122.86</v>
      </c>
      <c r="BD37">
        <v>119.883</v>
      </c>
      <c r="BE37">
        <v>7.1959999999999997</v>
      </c>
      <c r="BF37">
        <v>117.51</v>
      </c>
      <c r="BG37">
        <v>0.83396226415094332</v>
      </c>
      <c r="BH37">
        <v>146.44200000000001</v>
      </c>
      <c r="BI37">
        <v>1.6509433962264151E-2</v>
      </c>
      <c r="BJ37">
        <v>0.53700000000000003</v>
      </c>
      <c r="BK37">
        <v>-26.216000000000001</v>
      </c>
      <c r="BL37">
        <v>418.76799999999997</v>
      </c>
      <c r="BM37">
        <v>402.47699999999998</v>
      </c>
      <c r="BN37">
        <v>24.466000000000001</v>
      </c>
      <c r="BO37">
        <v>373.72899999999998</v>
      </c>
      <c r="BP37">
        <v>459.97399999999999</v>
      </c>
      <c r="BV37">
        <v>3630.44</v>
      </c>
      <c r="BW37">
        <v>3622.2950000000001</v>
      </c>
      <c r="BX37">
        <v>248.43799999999999</v>
      </c>
      <c r="BY37">
        <v>3191.069</v>
      </c>
      <c r="BZ37">
        <v>4226.01</v>
      </c>
      <c r="CA37">
        <v>2.12</v>
      </c>
      <c r="CB37">
        <v>7</v>
      </c>
      <c r="CC37">
        <v>7</v>
      </c>
      <c r="CD37">
        <v>2</v>
      </c>
      <c r="CE37">
        <v>4</v>
      </c>
      <c r="CF37">
        <v>3</v>
      </c>
    </row>
    <row r="38" spans="1:84" x14ac:dyDescent="0.35">
      <c r="A38" t="s">
        <v>202</v>
      </c>
      <c r="B38" t="str">
        <f t="shared" si="2"/>
        <v xml:space="preserve"> ch_ar_2000_08_08_388</v>
      </c>
      <c r="C38" s="1">
        <f t="shared" si="3"/>
        <v>45745</v>
      </c>
      <c r="D38" t="s">
        <v>78</v>
      </c>
      <c r="E38">
        <v>207.46100000000001</v>
      </c>
      <c r="F38">
        <v>207.042</v>
      </c>
      <c r="G38">
        <v>2.8490000000000002</v>
      </c>
      <c r="H38">
        <v>200.58500000000001</v>
      </c>
      <c r="I38">
        <v>0.98409090909090902</v>
      </c>
      <c r="J38">
        <v>222.08600000000001</v>
      </c>
      <c r="K38">
        <v>0</v>
      </c>
      <c r="L38">
        <v>0.51400000000000001</v>
      </c>
      <c r="M38">
        <v>-28.713999999999999</v>
      </c>
      <c r="N38">
        <v>470.23</v>
      </c>
      <c r="O38">
        <v>448.98200000000003</v>
      </c>
      <c r="P38">
        <v>67.244</v>
      </c>
      <c r="Q38">
        <v>349.20800000000003</v>
      </c>
      <c r="R38">
        <v>598.64300000000003</v>
      </c>
      <c r="S38">
        <v>1142.2550000000001</v>
      </c>
      <c r="T38">
        <v>1147.3979999999999</v>
      </c>
      <c r="U38">
        <v>69.247</v>
      </c>
      <c r="V38">
        <v>1047.624</v>
      </c>
      <c r="W38">
        <v>1546.4929999999999</v>
      </c>
      <c r="X38">
        <v>2635.69</v>
      </c>
      <c r="Y38">
        <v>2594.1179999999999</v>
      </c>
      <c r="Z38">
        <v>219.68700000000001</v>
      </c>
      <c r="AA38">
        <v>2294.7959999999998</v>
      </c>
      <c r="AB38">
        <v>3741.5160000000001</v>
      </c>
      <c r="AC38">
        <v>2.2000000000000002</v>
      </c>
      <c r="AD38">
        <v>208.023</v>
      </c>
      <c r="AE38">
        <v>207.042</v>
      </c>
      <c r="AF38">
        <v>4.1159999999999997</v>
      </c>
      <c r="AG38">
        <v>202.29400000000001</v>
      </c>
      <c r="AH38">
        <v>0.81699029126213596</v>
      </c>
      <c r="AI38">
        <v>232.10499999999999</v>
      </c>
      <c r="AJ38">
        <v>0</v>
      </c>
      <c r="AK38">
        <v>0.51</v>
      </c>
      <c r="AL38">
        <v>-31.456</v>
      </c>
      <c r="AM38">
        <v>347.666</v>
      </c>
      <c r="AN38">
        <v>348.42</v>
      </c>
      <c r="AO38">
        <v>6127</v>
      </c>
      <c r="AP38">
        <v>298.64600000000002</v>
      </c>
      <c r="AQ38">
        <v>348.42</v>
      </c>
      <c r="AR38">
        <v>1918.5719999999999</v>
      </c>
      <c r="AS38">
        <v>1916.309</v>
      </c>
      <c r="AT38">
        <v>166.35599999999999</v>
      </c>
      <c r="AU38">
        <v>1493.2280000000001</v>
      </c>
      <c r="AV38">
        <v>2289.616</v>
      </c>
      <c r="AW38">
        <v>3088.9609999999998</v>
      </c>
      <c r="AX38">
        <v>3036.23</v>
      </c>
      <c r="AY38">
        <v>209.386</v>
      </c>
      <c r="AZ38">
        <v>2737.585</v>
      </c>
      <c r="BA38">
        <v>3733.07</v>
      </c>
      <c r="BB38">
        <v>2.06</v>
      </c>
      <c r="BC38">
        <v>204.14699999999999</v>
      </c>
      <c r="BD38">
        <v>203.762</v>
      </c>
      <c r="BE38">
        <v>2.2130000000000001</v>
      </c>
      <c r="BF38">
        <v>200.45500000000001</v>
      </c>
      <c r="BG38">
        <v>0.3786363636363636</v>
      </c>
      <c r="BH38">
        <v>217.85499999999999</v>
      </c>
      <c r="BI38">
        <v>9.5454545454545445E-3</v>
      </c>
      <c r="BJ38">
        <v>0.40200000000000002</v>
      </c>
      <c r="BK38">
        <v>-29.657</v>
      </c>
      <c r="BL38">
        <v>315.34699999999998</v>
      </c>
      <c r="BM38">
        <v>315.34699999999998</v>
      </c>
      <c r="BN38">
        <v>25.57</v>
      </c>
      <c r="BO38">
        <v>291.089</v>
      </c>
      <c r="BP38">
        <v>339.60399999999998</v>
      </c>
      <c r="BQ38">
        <v>1303.971</v>
      </c>
      <c r="BR38">
        <v>1309.9010000000001</v>
      </c>
      <c r="BS38">
        <v>120.566</v>
      </c>
      <c r="BT38">
        <v>1067.327</v>
      </c>
      <c r="BU38">
        <v>1698.02</v>
      </c>
      <c r="BV38">
        <v>3167.3270000000002</v>
      </c>
      <c r="BW38">
        <v>3153.4650000000001</v>
      </c>
      <c r="BX38">
        <v>150.245</v>
      </c>
      <c r="BY38">
        <v>2813.8609999999999</v>
      </c>
      <c r="BZ38">
        <v>3493.069</v>
      </c>
      <c r="CA38">
        <v>2.2000000000000002</v>
      </c>
    </row>
    <row r="39" spans="1:84" x14ac:dyDescent="0.35">
      <c r="A39" t="s">
        <v>156</v>
      </c>
      <c r="B39" t="str">
        <f t="shared" si="2"/>
        <v xml:space="preserve"> ch_bi_2001_01_28_407</v>
      </c>
      <c r="C39" s="1">
        <f t="shared" si="3"/>
        <v>45752</v>
      </c>
      <c r="D39" t="s">
        <v>78</v>
      </c>
      <c r="E39">
        <v>211.37700000000001</v>
      </c>
      <c r="F39">
        <v>213.78100000000001</v>
      </c>
      <c r="G39">
        <v>29.731000000000002</v>
      </c>
      <c r="H39">
        <v>103.904</v>
      </c>
      <c r="I39">
        <v>0.93098591549295784</v>
      </c>
      <c r="J39">
        <v>344.916</v>
      </c>
      <c r="K39">
        <v>0.91654929577464805</v>
      </c>
      <c r="L39">
        <v>3.569</v>
      </c>
      <c r="M39">
        <v>-20.945</v>
      </c>
      <c r="N39">
        <v>638.774</v>
      </c>
      <c r="O39">
        <v>639.13</v>
      </c>
      <c r="P39">
        <v>114.64700000000001</v>
      </c>
      <c r="Q39">
        <v>294.983</v>
      </c>
      <c r="R39">
        <v>983.27800000000002</v>
      </c>
      <c r="S39">
        <v>1242.279</v>
      </c>
      <c r="T39">
        <v>1229.097</v>
      </c>
      <c r="U39">
        <v>123.256</v>
      </c>
      <c r="V39">
        <v>1130.769</v>
      </c>
      <c r="W39">
        <v>1819.0640000000001</v>
      </c>
      <c r="X39">
        <v>2718.62</v>
      </c>
      <c r="Y39">
        <v>2753.1770000000001</v>
      </c>
      <c r="Z39">
        <v>172.92099999999999</v>
      </c>
      <c r="AA39">
        <v>2114.047</v>
      </c>
      <c r="AB39">
        <v>3244.8159999999998</v>
      </c>
      <c r="AC39">
        <v>2.84</v>
      </c>
      <c r="AD39">
        <v>215.95599999999999</v>
      </c>
      <c r="AE39">
        <v>213.04300000000001</v>
      </c>
      <c r="AF39">
        <v>7.9119999999999999</v>
      </c>
      <c r="AG39">
        <v>208.58099999999999</v>
      </c>
      <c r="AH39">
        <v>0.58695652173913049</v>
      </c>
      <c r="AI39">
        <v>249.15299999999999</v>
      </c>
      <c r="AJ39">
        <v>0</v>
      </c>
      <c r="AK39">
        <v>0.60399999999999998</v>
      </c>
      <c r="AL39">
        <v>-27.672000000000001</v>
      </c>
      <c r="AM39">
        <v>320.41399999999999</v>
      </c>
      <c r="AN39">
        <v>314.25200000000001</v>
      </c>
      <c r="AO39">
        <v>26.077000000000002</v>
      </c>
      <c r="AP39">
        <v>261.87599999999998</v>
      </c>
      <c r="AQ39">
        <v>471.37799999999999</v>
      </c>
      <c r="AR39">
        <v>2162.7919999999999</v>
      </c>
      <c r="AS39">
        <v>2199.7620000000002</v>
      </c>
      <c r="AT39">
        <v>198.374</v>
      </c>
      <c r="AU39">
        <v>1728.385</v>
      </c>
      <c r="AV39">
        <v>2566.39</v>
      </c>
      <c r="AW39">
        <v>3284.7579999999998</v>
      </c>
      <c r="AX39">
        <v>3299.6439999999998</v>
      </c>
      <c r="AY39">
        <v>171.45400000000001</v>
      </c>
      <c r="AZ39">
        <v>2618.7649999999999</v>
      </c>
      <c r="BA39">
        <v>3718.6460000000002</v>
      </c>
      <c r="BB39">
        <v>1.84</v>
      </c>
      <c r="BC39">
        <v>220.47900000000001</v>
      </c>
      <c r="BD39">
        <v>218.93600000000001</v>
      </c>
      <c r="BE39">
        <v>5.4470000000000001</v>
      </c>
      <c r="BF39">
        <v>212.45699999999999</v>
      </c>
      <c r="BG39">
        <v>0.95064102564102571</v>
      </c>
      <c r="BH39">
        <v>248.15100000000001</v>
      </c>
      <c r="BI39">
        <v>1.217948717948718E-2</v>
      </c>
      <c r="BJ39">
        <v>0.77100000000000002</v>
      </c>
      <c r="BK39">
        <v>-25.625</v>
      </c>
      <c r="BL39">
        <v>395.80900000000003</v>
      </c>
      <c r="BM39">
        <v>377.38400000000001</v>
      </c>
      <c r="BN39">
        <v>29.763000000000002</v>
      </c>
      <c r="BO39">
        <v>377.38400000000001</v>
      </c>
      <c r="BP39">
        <v>539.12</v>
      </c>
      <c r="BQ39">
        <v>1388.982</v>
      </c>
      <c r="BR39">
        <v>1374.7560000000001</v>
      </c>
      <c r="BS39">
        <v>147.71100000000001</v>
      </c>
      <c r="BT39">
        <v>1132.152</v>
      </c>
      <c r="BU39">
        <v>1725.183</v>
      </c>
      <c r="BV39">
        <v>2868.5120000000002</v>
      </c>
      <c r="BW39">
        <v>2857.335</v>
      </c>
      <c r="BX39">
        <v>281.95299999999997</v>
      </c>
      <c r="BY39">
        <v>2156.4789999999998</v>
      </c>
      <c r="BZ39">
        <v>3612.1030000000001</v>
      </c>
      <c r="CA39">
        <v>1.56</v>
      </c>
    </row>
    <row r="40" spans="1:84" x14ac:dyDescent="0.35">
      <c r="A40" t="s">
        <v>116</v>
      </c>
      <c r="B40" t="str">
        <f t="shared" si="2"/>
        <v xml:space="preserve"> ch_bl_2001_09_25_360</v>
      </c>
      <c r="C40" s="1">
        <f t="shared" si="3"/>
        <v>45750</v>
      </c>
      <c r="D40" t="s">
        <v>78</v>
      </c>
      <c r="E40">
        <v>189.751</v>
      </c>
      <c r="F40">
        <v>188.577</v>
      </c>
      <c r="G40">
        <v>6.4329999999999998</v>
      </c>
      <c r="H40">
        <v>182.988</v>
      </c>
      <c r="I40">
        <v>0.1443089430894309</v>
      </c>
      <c r="J40">
        <v>228.49700000000001</v>
      </c>
      <c r="K40">
        <v>0.99105691056910572</v>
      </c>
      <c r="L40">
        <v>0.58599999999999997</v>
      </c>
      <c r="M40">
        <v>-28.617999999999999</v>
      </c>
      <c r="N40">
        <v>425.20699999999999</v>
      </c>
      <c r="O40">
        <v>410.02100000000002</v>
      </c>
      <c r="P40">
        <v>91.802999999999997</v>
      </c>
      <c r="Q40">
        <v>273.34699999999998</v>
      </c>
      <c r="R40">
        <v>1047.8309999999999</v>
      </c>
      <c r="S40">
        <v>1161.1099999999999</v>
      </c>
      <c r="T40">
        <v>1138.9459999999999</v>
      </c>
      <c r="U40">
        <v>43.811999999999998</v>
      </c>
      <c r="V40">
        <v>1093.3879999999999</v>
      </c>
      <c r="W40">
        <v>1366.7360000000001</v>
      </c>
      <c r="X40">
        <v>2839.7730000000001</v>
      </c>
      <c r="Y40">
        <v>2824.587</v>
      </c>
      <c r="Z40">
        <v>97.581999999999994</v>
      </c>
      <c r="AA40">
        <v>2369.0079999999998</v>
      </c>
      <c r="AB40">
        <v>3189.05</v>
      </c>
      <c r="AC40">
        <v>2.46</v>
      </c>
      <c r="AD40">
        <v>191.47800000000001</v>
      </c>
      <c r="AE40">
        <v>190.90899999999999</v>
      </c>
      <c r="AF40">
        <v>3.2469999999999999</v>
      </c>
      <c r="AG40">
        <v>186.63800000000001</v>
      </c>
      <c r="AH40">
        <v>0.13034188034188035</v>
      </c>
      <c r="AI40">
        <v>212.75</v>
      </c>
      <c r="AJ40">
        <v>8.5470085470085479E-3</v>
      </c>
      <c r="AK40">
        <v>0.42599999999999999</v>
      </c>
      <c r="AL40">
        <v>-29.648</v>
      </c>
      <c r="AM40">
        <v>309.404</v>
      </c>
      <c r="AN40">
        <v>322.57100000000003</v>
      </c>
      <c r="AO40">
        <v>21.603000000000002</v>
      </c>
      <c r="AP40">
        <v>276.48899999999998</v>
      </c>
      <c r="AQ40">
        <v>322.57100000000003</v>
      </c>
      <c r="AW40">
        <v>3651.7420000000002</v>
      </c>
      <c r="AX40">
        <v>3640.4389999999999</v>
      </c>
      <c r="AY40">
        <v>175.65299999999999</v>
      </c>
      <c r="AZ40">
        <v>3410.0309999999999</v>
      </c>
      <c r="BA40">
        <v>4285.58</v>
      </c>
      <c r="BB40">
        <v>2.34</v>
      </c>
      <c r="BC40">
        <v>191.874</v>
      </c>
      <c r="BD40">
        <v>191.739</v>
      </c>
      <c r="BE40">
        <v>1.972</v>
      </c>
      <c r="BF40">
        <v>187.774</v>
      </c>
      <c r="BG40">
        <v>8.6842105263157901E-2</v>
      </c>
      <c r="BH40">
        <v>202.559</v>
      </c>
      <c r="BI40">
        <v>9.6491228070175444E-3</v>
      </c>
      <c r="BJ40">
        <v>0.36099999999999999</v>
      </c>
      <c r="BK40">
        <v>-30.984999999999999</v>
      </c>
      <c r="BL40">
        <v>325.096</v>
      </c>
      <c r="BM40">
        <v>321.56299999999999</v>
      </c>
      <c r="BN40">
        <v>27.472000000000001</v>
      </c>
      <c r="BO40">
        <v>275.625</v>
      </c>
      <c r="BP40">
        <v>551.25</v>
      </c>
      <c r="BQ40">
        <v>1122.473</v>
      </c>
      <c r="BR40">
        <v>1148.4380000000001</v>
      </c>
      <c r="BS40">
        <v>74.364000000000004</v>
      </c>
      <c r="BT40">
        <v>1010.625</v>
      </c>
      <c r="BU40">
        <v>1286.25</v>
      </c>
      <c r="BV40">
        <v>2973.8960000000002</v>
      </c>
      <c r="BW40">
        <v>2940</v>
      </c>
      <c r="BX40">
        <v>155.71</v>
      </c>
      <c r="BY40">
        <v>2618.4380000000001</v>
      </c>
      <c r="BZ40">
        <v>3445.3130000000001</v>
      </c>
      <c r="CA40">
        <v>2.2799999999999998</v>
      </c>
      <c r="CB40">
        <v>4</v>
      </c>
      <c r="CC40">
        <v>4</v>
      </c>
      <c r="CD40">
        <v>1</v>
      </c>
      <c r="CE40">
        <v>5</v>
      </c>
      <c r="CF40">
        <v>3</v>
      </c>
    </row>
    <row r="41" spans="1:84" x14ac:dyDescent="0.35">
      <c r="A41" t="s">
        <v>100</v>
      </c>
      <c r="B41" t="str">
        <f t="shared" si="2"/>
        <v xml:space="preserve"> ch_ch_1999_10_05_790</v>
      </c>
      <c r="C41" s="1">
        <f t="shared" si="3"/>
        <v>45749</v>
      </c>
      <c r="D41" t="s">
        <v>78</v>
      </c>
      <c r="E41">
        <v>199.22300000000001</v>
      </c>
      <c r="F41">
        <v>198.52099999999999</v>
      </c>
      <c r="G41">
        <v>3.472</v>
      </c>
      <c r="H41">
        <v>194.64099999999999</v>
      </c>
      <c r="I41">
        <v>0.52233009708737865</v>
      </c>
      <c r="J41">
        <v>219.40299999999999</v>
      </c>
      <c r="K41">
        <v>0.9939320388349514</v>
      </c>
      <c r="L41">
        <v>0.443</v>
      </c>
      <c r="M41">
        <v>-20.54</v>
      </c>
      <c r="N41">
        <v>711.85299999999995</v>
      </c>
      <c r="O41">
        <v>721.37400000000002</v>
      </c>
      <c r="P41">
        <v>75.983999999999995</v>
      </c>
      <c r="Q41">
        <v>288.55</v>
      </c>
      <c r="R41">
        <v>1106.107</v>
      </c>
      <c r="S41">
        <v>1073.6389999999999</v>
      </c>
      <c r="T41">
        <v>1058.0150000000001</v>
      </c>
      <c r="U41">
        <v>26.431999999999999</v>
      </c>
      <c r="V41">
        <v>1009.924</v>
      </c>
      <c r="W41">
        <v>1250.3820000000001</v>
      </c>
      <c r="X41">
        <v>3041.0010000000002</v>
      </c>
      <c r="Y41">
        <v>3029.7710000000002</v>
      </c>
      <c r="Z41">
        <v>118.462</v>
      </c>
      <c r="AA41">
        <v>2837.4050000000002</v>
      </c>
      <c r="AB41">
        <v>3462.5949999999998</v>
      </c>
      <c r="AC41">
        <v>4.12</v>
      </c>
      <c r="AD41">
        <v>197.923</v>
      </c>
      <c r="AE41">
        <v>197.126</v>
      </c>
      <c r="AF41">
        <v>6.0110000000000001</v>
      </c>
      <c r="AG41">
        <v>191.97800000000001</v>
      </c>
      <c r="AH41">
        <v>0.49170506912442397</v>
      </c>
      <c r="AI41">
        <v>254.91300000000001</v>
      </c>
      <c r="AJ41">
        <v>0</v>
      </c>
      <c r="AK41">
        <v>0.59199999999999997</v>
      </c>
      <c r="AL41">
        <v>-26.855</v>
      </c>
      <c r="AM41">
        <v>346.13299999999998</v>
      </c>
      <c r="AN41">
        <v>333.01</v>
      </c>
      <c r="AO41">
        <v>23.798999999999999</v>
      </c>
      <c r="AP41">
        <v>237.864</v>
      </c>
      <c r="AQ41">
        <v>380.58300000000003</v>
      </c>
      <c r="AR41">
        <v>2413.491</v>
      </c>
      <c r="AS41">
        <v>2426.2139999999999</v>
      </c>
      <c r="AT41">
        <v>102.273</v>
      </c>
      <c r="AU41">
        <v>2045.6310000000001</v>
      </c>
      <c r="AV41">
        <v>2568.9319999999998</v>
      </c>
      <c r="AW41">
        <v>3604.627</v>
      </c>
      <c r="AX41">
        <v>3615.5340000000001</v>
      </c>
      <c r="AY41">
        <v>102.348</v>
      </c>
      <c r="AZ41">
        <v>2997.087</v>
      </c>
      <c r="BA41">
        <v>4043.6889999999999</v>
      </c>
      <c r="BB41">
        <v>4.34</v>
      </c>
      <c r="BC41">
        <v>205.31899999999999</v>
      </c>
      <c r="BD41">
        <v>203.226</v>
      </c>
      <c r="BE41">
        <v>9.5709999999999997</v>
      </c>
      <c r="BF41">
        <v>198.52099999999999</v>
      </c>
      <c r="BG41">
        <v>0.97904761904761906</v>
      </c>
      <c r="BH41">
        <v>297.97300000000001</v>
      </c>
      <c r="BI41">
        <v>0</v>
      </c>
      <c r="BJ41">
        <v>0.48599999999999999</v>
      </c>
      <c r="BK41">
        <v>-28.722000000000001</v>
      </c>
      <c r="BL41">
        <v>349.28500000000003</v>
      </c>
      <c r="BM41">
        <v>345.68900000000002</v>
      </c>
      <c r="BN41">
        <v>14.596</v>
      </c>
      <c r="BO41">
        <v>296.30500000000001</v>
      </c>
      <c r="BP41">
        <v>395.07299999999998</v>
      </c>
      <c r="BQ41">
        <v>1030.011</v>
      </c>
      <c r="BR41">
        <v>1037.066</v>
      </c>
      <c r="BS41">
        <v>77.709999999999994</v>
      </c>
      <c r="BT41">
        <v>938.298</v>
      </c>
      <c r="BU41">
        <v>1185.2180000000001</v>
      </c>
      <c r="BV41">
        <v>3474.3870000000002</v>
      </c>
      <c r="BW41">
        <v>3456.8870000000002</v>
      </c>
      <c r="BX41">
        <v>219.749</v>
      </c>
      <c r="BY41">
        <v>2814.8939999999998</v>
      </c>
      <c r="BZ41">
        <v>4444.5690000000004</v>
      </c>
      <c r="CA41">
        <v>4.2</v>
      </c>
      <c r="CB41">
        <v>4</v>
      </c>
      <c r="CC41">
        <v>1</v>
      </c>
      <c r="CD41">
        <v>1</v>
      </c>
      <c r="CE41">
        <v>1</v>
      </c>
      <c r="CF41">
        <v>0</v>
      </c>
    </row>
    <row r="42" spans="1:84" x14ac:dyDescent="0.35">
      <c r="A42" t="s">
        <v>117</v>
      </c>
      <c r="B42" t="str">
        <f t="shared" si="2"/>
        <v xml:space="preserve"> ch_fa_1992_09_30_085</v>
      </c>
      <c r="C42" s="1">
        <f t="shared" si="3"/>
        <v>45750</v>
      </c>
      <c r="D42" t="s">
        <v>78</v>
      </c>
      <c r="E42">
        <v>133.31800000000001</v>
      </c>
      <c r="F42">
        <v>134.15899999999999</v>
      </c>
      <c r="G42">
        <v>2.3079999999999998</v>
      </c>
      <c r="H42">
        <v>126.88</v>
      </c>
      <c r="I42">
        <v>5.8219178082191785E-2</v>
      </c>
      <c r="J42">
        <v>135.99100000000001</v>
      </c>
      <c r="K42">
        <v>0.48287671232876711</v>
      </c>
      <c r="L42">
        <v>0.54500000000000004</v>
      </c>
      <c r="M42">
        <v>-22.234000000000002</v>
      </c>
      <c r="N42">
        <v>655.07500000000005</v>
      </c>
      <c r="O42">
        <v>658.20899999999995</v>
      </c>
      <c r="P42">
        <v>53.021000000000001</v>
      </c>
      <c r="Q42">
        <v>564.17899999999997</v>
      </c>
      <c r="R42">
        <v>877.61199999999997</v>
      </c>
      <c r="S42">
        <v>1344.1990000000001</v>
      </c>
      <c r="T42">
        <v>1347.761</v>
      </c>
      <c r="U42">
        <v>80.611999999999995</v>
      </c>
      <c r="V42">
        <v>1222.3879999999999</v>
      </c>
      <c r="W42">
        <v>1535.8209999999999</v>
      </c>
      <c r="X42">
        <v>2272.04</v>
      </c>
      <c r="Y42">
        <v>2256.7159999999999</v>
      </c>
      <c r="Z42">
        <v>97.210999999999999</v>
      </c>
      <c r="AA42">
        <v>2068.6570000000002</v>
      </c>
      <c r="AB42">
        <v>2538.806</v>
      </c>
      <c r="AC42">
        <v>1.46</v>
      </c>
      <c r="AD42">
        <v>134.96199999999999</v>
      </c>
      <c r="AE42">
        <v>134.68600000000001</v>
      </c>
      <c r="AF42">
        <v>2.1930000000000001</v>
      </c>
      <c r="AG42">
        <v>128.679</v>
      </c>
      <c r="AH42">
        <v>0</v>
      </c>
      <c r="AI42">
        <v>144.59</v>
      </c>
      <c r="AJ42">
        <v>0.97562499999999996</v>
      </c>
      <c r="AK42">
        <v>0.67600000000000005</v>
      </c>
      <c r="AL42">
        <v>-20.465</v>
      </c>
      <c r="AM42">
        <v>344.601</v>
      </c>
      <c r="AN42">
        <v>352.28800000000001</v>
      </c>
      <c r="AO42">
        <v>29.338000000000001</v>
      </c>
      <c r="AP42">
        <v>288.23500000000001</v>
      </c>
      <c r="AQ42">
        <v>384.31400000000002</v>
      </c>
      <c r="AR42">
        <v>2252.748</v>
      </c>
      <c r="AS42">
        <v>2273.8560000000002</v>
      </c>
      <c r="AT42">
        <v>122.76900000000001</v>
      </c>
      <c r="AU42">
        <v>1953.595</v>
      </c>
      <c r="AV42">
        <v>2466.0129999999999</v>
      </c>
      <c r="AW42">
        <v>4370.2879999999996</v>
      </c>
      <c r="AX42">
        <v>4403.5950000000003</v>
      </c>
      <c r="AY42">
        <v>183.25899999999999</v>
      </c>
      <c r="AZ42">
        <v>3747.0590000000002</v>
      </c>
      <c r="BA42">
        <v>4611.7650000000003</v>
      </c>
      <c r="BB42">
        <v>1.6</v>
      </c>
      <c r="BC42">
        <v>136.72300000000001</v>
      </c>
      <c r="BD42">
        <v>136.47200000000001</v>
      </c>
      <c r="BE42">
        <v>1.9319999999999999</v>
      </c>
      <c r="BF42">
        <v>133.34800000000001</v>
      </c>
      <c r="BG42">
        <v>0.98</v>
      </c>
      <c r="BH42">
        <v>147.703</v>
      </c>
      <c r="BI42">
        <v>0</v>
      </c>
      <c r="BJ42">
        <v>0.59699999999999998</v>
      </c>
      <c r="BK42">
        <v>-23.969000000000001</v>
      </c>
      <c r="BL42">
        <v>362.18599999999998</v>
      </c>
      <c r="BM42">
        <v>355.38499999999999</v>
      </c>
      <c r="BN42">
        <v>24.978000000000002</v>
      </c>
      <c r="BO42">
        <v>323.077</v>
      </c>
      <c r="BP42">
        <v>387.69200000000001</v>
      </c>
      <c r="BQ42">
        <v>1160.5920000000001</v>
      </c>
      <c r="BR42">
        <v>1130.769</v>
      </c>
      <c r="BS42">
        <v>138.68</v>
      </c>
      <c r="BT42">
        <v>1066.154</v>
      </c>
      <c r="BU42">
        <v>1809.231</v>
      </c>
      <c r="BV42">
        <v>3904.6959999999999</v>
      </c>
      <c r="BW42">
        <v>3941.538</v>
      </c>
      <c r="BX42">
        <v>301.00200000000001</v>
      </c>
      <c r="BY42">
        <v>2584.6149999999998</v>
      </c>
      <c r="BZ42">
        <v>4329.2309999999998</v>
      </c>
      <c r="CA42">
        <v>1.8</v>
      </c>
      <c r="CB42">
        <v>7</v>
      </c>
      <c r="CC42">
        <v>3</v>
      </c>
      <c r="CD42">
        <v>1</v>
      </c>
      <c r="CE42">
        <v>2</v>
      </c>
      <c r="CF42">
        <v>2</v>
      </c>
    </row>
    <row r="43" spans="1:84" x14ac:dyDescent="0.35">
      <c r="A43" t="s">
        <v>101</v>
      </c>
      <c r="B43" t="str">
        <f t="shared" si="2"/>
        <v xml:space="preserve"> ch_mo_2005_07_21_173</v>
      </c>
      <c r="C43" s="1">
        <f t="shared" si="3"/>
        <v>45749</v>
      </c>
      <c r="D43" t="s">
        <v>78</v>
      </c>
      <c r="E43">
        <v>185.64099999999999</v>
      </c>
      <c r="F43">
        <v>185.74</v>
      </c>
      <c r="G43">
        <v>1.181</v>
      </c>
      <c r="H43">
        <v>181.268</v>
      </c>
      <c r="I43">
        <v>0</v>
      </c>
      <c r="J43">
        <v>189.27</v>
      </c>
      <c r="K43">
        <v>8.6466165413533833E-3</v>
      </c>
      <c r="L43">
        <v>0.28699999999999998</v>
      </c>
      <c r="M43">
        <v>-23.824999999999999</v>
      </c>
      <c r="N43">
        <v>738.25099999999998</v>
      </c>
      <c r="O43">
        <v>751.202</v>
      </c>
      <c r="P43">
        <v>43.223999999999997</v>
      </c>
      <c r="Q43">
        <v>530.26099999999997</v>
      </c>
      <c r="R43">
        <v>839.57899999999995</v>
      </c>
      <c r="S43">
        <v>1054.7570000000001</v>
      </c>
      <c r="T43">
        <v>1060.521</v>
      </c>
      <c r="U43">
        <v>44.774000000000001</v>
      </c>
      <c r="V43">
        <v>927.95600000000002</v>
      </c>
      <c r="W43">
        <v>1104.7090000000001</v>
      </c>
      <c r="X43">
        <v>3430.3130000000001</v>
      </c>
      <c r="Y43">
        <v>3446.6930000000002</v>
      </c>
      <c r="Z43">
        <v>398.72</v>
      </c>
      <c r="AA43">
        <v>2695.491</v>
      </c>
      <c r="AB43">
        <v>4153.7070000000003</v>
      </c>
      <c r="AC43">
        <v>2.66</v>
      </c>
      <c r="AD43">
        <v>189.547</v>
      </c>
      <c r="AE43">
        <v>189.03899999999999</v>
      </c>
      <c r="AF43">
        <v>6.3970000000000002</v>
      </c>
      <c r="AG43">
        <v>182.23099999999999</v>
      </c>
      <c r="AH43">
        <v>7.2847682119205294E-3</v>
      </c>
      <c r="AI43">
        <v>260.06700000000001</v>
      </c>
      <c r="AJ43">
        <v>0</v>
      </c>
      <c r="AK43">
        <v>0.56200000000000006</v>
      </c>
      <c r="AL43">
        <v>-29.338000000000001</v>
      </c>
      <c r="AM43">
        <v>361.51100000000002</v>
      </c>
      <c r="AN43">
        <v>361.846</v>
      </c>
      <c r="AO43">
        <v>3893</v>
      </c>
      <c r="AP43">
        <v>316.61500000000001</v>
      </c>
      <c r="AQ43">
        <v>361.846</v>
      </c>
      <c r="AR43">
        <v>2420.5309999999999</v>
      </c>
      <c r="AS43">
        <v>2442.462</v>
      </c>
      <c r="AT43">
        <v>106.813</v>
      </c>
      <c r="AU43">
        <v>2035.385</v>
      </c>
      <c r="AV43">
        <v>2532.9229999999998</v>
      </c>
      <c r="AW43">
        <v>3627.8429999999998</v>
      </c>
      <c r="AX43">
        <v>3663.692</v>
      </c>
      <c r="AY43">
        <v>188.21</v>
      </c>
      <c r="AZ43">
        <v>3166.154</v>
      </c>
      <c r="BA43">
        <v>4161.2309999999998</v>
      </c>
      <c r="BB43">
        <v>3.02</v>
      </c>
      <c r="BC43">
        <v>186.71799999999999</v>
      </c>
      <c r="BD43">
        <v>186.69499999999999</v>
      </c>
      <c r="BE43">
        <v>2.1259999999999999</v>
      </c>
      <c r="BF43">
        <v>181.69499999999999</v>
      </c>
      <c r="BG43">
        <v>3.6111111111111108E-2</v>
      </c>
      <c r="BH43">
        <v>194.518</v>
      </c>
      <c r="BI43">
        <v>0</v>
      </c>
      <c r="BJ43">
        <v>0.33300000000000002</v>
      </c>
      <c r="BK43">
        <v>-29.306000000000001</v>
      </c>
      <c r="BL43">
        <v>357.12200000000001</v>
      </c>
      <c r="BM43">
        <v>353.50700000000001</v>
      </c>
      <c r="BN43">
        <v>12.167</v>
      </c>
      <c r="BO43">
        <v>353.50700000000001</v>
      </c>
      <c r="BP43">
        <v>397.69499999999999</v>
      </c>
      <c r="BQ43">
        <v>985.40099999999995</v>
      </c>
      <c r="BR43">
        <v>972.14400000000001</v>
      </c>
      <c r="BS43">
        <v>26.866</v>
      </c>
      <c r="BT43">
        <v>927.95600000000002</v>
      </c>
      <c r="BU43">
        <v>1060.521</v>
      </c>
      <c r="BV43">
        <v>3248.6489999999999</v>
      </c>
      <c r="BW43">
        <v>3225.752</v>
      </c>
      <c r="BX43">
        <v>172.52</v>
      </c>
      <c r="BY43">
        <v>2828.056</v>
      </c>
      <c r="BZ43">
        <v>3756.0120000000002</v>
      </c>
      <c r="CA43">
        <v>2.52</v>
      </c>
      <c r="CB43">
        <v>8</v>
      </c>
      <c r="CC43">
        <v>4</v>
      </c>
      <c r="CD43">
        <v>0</v>
      </c>
      <c r="CE43">
        <v>2</v>
      </c>
      <c r="CF43">
        <v>4</v>
      </c>
    </row>
    <row r="44" spans="1:84" x14ac:dyDescent="0.35">
      <c r="A44" t="s">
        <v>138</v>
      </c>
      <c r="B44" t="str">
        <f t="shared" si="2"/>
        <v xml:space="preserve"> ch_pr_2005_04_08_406</v>
      </c>
      <c r="C44" s="1">
        <f t="shared" si="3"/>
        <v>45751</v>
      </c>
      <c r="D44" t="s">
        <v>78</v>
      </c>
      <c r="E44">
        <v>202.172</v>
      </c>
      <c r="F44">
        <v>201.56700000000001</v>
      </c>
      <c r="G44">
        <v>5.0279999999999996</v>
      </c>
      <c r="H44">
        <v>197.25200000000001</v>
      </c>
      <c r="I44">
        <v>0.10509259259259258</v>
      </c>
      <c r="J44">
        <v>249.15299999999999</v>
      </c>
      <c r="K44">
        <v>0</v>
      </c>
      <c r="L44">
        <v>0.66100000000000003</v>
      </c>
      <c r="M44">
        <v>-24.42</v>
      </c>
      <c r="N44">
        <v>864.54899999999998</v>
      </c>
      <c r="O44">
        <v>881.02099999999996</v>
      </c>
      <c r="P44">
        <v>58.912999999999997</v>
      </c>
      <c r="Q44">
        <v>440.51100000000002</v>
      </c>
      <c r="R44">
        <v>978.91200000000003</v>
      </c>
      <c r="S44">
        <v>1128.395</v>
      </c>
      <c r="T44">
        <v>1125.749</v>
      </c>
      <c r="U44">
        <v>75.519000000000005</v>
      </c>
      <c r="V44">
        <v>1027.8579999999999</v>
      </c>
      <c r="W44">
        <v>1468.3679999999999</v>
      </c>
      <c r="X44">
        <v>2568.2330000000002</v>
      </c>
      <c r="Y44">
        <v>2545.172</v>
      </c>
      <c r="Z44">
        <v>213.726</v>
      </c>
      <c r="AA44">
        <v>2251.498</v>
      </c>
      <c r="AB44">
        <v>3719.8670000000002</v>
      </c>
      <c r="AC44">
        <v>2.16</v>
      </c>
      <c r="AD44">
        <v>217.02099999999999</v>
      </c>
      <c r="AE44">
        <v>216.17599999999999</v>
      </c>
      <c r="AF44">
        <v>6.7290000000000001</v>
      </c>
      <c r="AG44">
        <v>212.60300000000001</v>
      </c>
      <c r="AH44">
        <v>0.83224299065420548</v>
      </c>
      <c r="AI44">
        <v>272.70299999999997</v>
      </c>
      <c r="AJ44">
        <v>0</v>
      </c>
      <c r="AK44">
        <v>0.59599999999999997</v>
      </c>
      <c r="AL44">
        <v>-25.047999999999998</v>
      </c>
      <c r="AM44">
        <v>359.32400000000001</v>
      </c>
      <c r="AN44">
        <v>368.81700000000001</v>
      </c>
      <c r="AO44">
        <v>20.341999999999999</v>
      </c>
      <c r="AP44">
        <v>316.12900000000002</v>
      </c>
      <c r="AQ44">
        <v>368.81700000000001</v>
      </c>
      <c r="AR44">
        <v>2469.5619999999999</v>
      </c>
      <c r="AS44">
        <v>2476.3440000000001</v>
      </c>
      <c r="AT44">
        <v>103.961</v>
      </c>
      <c r="AU44">
        <v>1633.3330000000001</v>
      </c>
      <c r="AV44">
        <v>2529.0320000000002</v>
      </c>
      <c r="AW44">
        <v>3421.4090000000001</v>
      </c>
      <c r="AX44">
        <v>3424.7310000000002</v>
      </c>
      <c r="AY44">
        <v>123.315</v>
      </c>
      <c r="AZ44">
        <v>2845.1610000000001</v>
      </c>
      <c r="BA44">
        <v>3635.4839999999999</v>
      </c>
      <c r="BB44">
        <v>2.14</v>
      </c>
      <c r="BC44">
        <v>216.51900000000001</v>
      </c>
      <c r="BD44">
        <v>216.63200000000001</v>
      </c>
      <c r="BE44">
        <v>4.1150000000000002</v>
      </c>
      <c r="BF44">
        <v>208.863</v>
      </c>
      <c r="BG44">
        <v>6.3679245283018868E-2</v>
      </c>
      <c r="BH44">
        <v>248.351</v>
      </c>
      <c r="BI44">
        <v>0</v>
      </c>
      <c r="BJ44">
        <v>0.59</v>
      </c>
      <c r="BK44">
        <v>-27.411999999999999</v>
      </c>
      <c r="BL44">
        <v>404.58699999999999</v>
      </c>
      <c r="BM44">
        <v>418.00900000000001</v>
      </c>
      <c r="BN44">
        <v>25.042000000000002</v>
      </c>
      <c r="BO44">
        <v>313.50700000000001</v>
      </c>
      <c r="BP44">
        <v>418.00900000000001</v>
      </c>
      <c r="BQ44">
        <v>1165.201</v>
      </c>
      <c r="BR44">
        <v>1149.5260000000001</v>
      </c>
      <c r="BS44">
        <v>80.427000000000007</v>
      </c>
      <c r="BT44">
        <v>1045.0239999999999</v>
      </c>
      <c r="BU44">
        <v>1463.0329999999999</v>
      </c>
      <c r="BV44">
        <v>3538.7</v>
      </c>
      <c r="BW44">
        <v>3500.8290000000002</v>
      </c>
      <c r="BX44">
        <v>120.012</v>
      </c>
      <c r="BY44">
        <v>3291.8249999999998</v>
      </c>
      <c r="BZ44">
        <v>4127.8440000000001</v>
      </c>
      <c r="CA44">
        <v>2.12</v>
      </c>
      <c r="CB44">
        <v>6</v>
      </c>
      <c r="CC44">
        <v>6</v>
      </c>
      <c r="CD44">
        <v>0</v>
      </c>
      <c r="CE44">
        <v>4</v>
      </c>
      <c r="CF44">
        <v>3</v>
      </c>
    </row>
    <row r="45" spans="1:84" x14ac:dyDescent="0.35">
      <c r="A45" t="s">
        <v>157</v>
      </c>
      <c r="B45" t="str">
        <f t="shared" si="2"/>
        <v xml:space="preserve"> ch_ta_2005_12_03_835</v>
      </c>
      <c r="C45" s="1">
        <f t="shared" si="3"/>
        <v>45752</v>
      </c>
      <c r="D45" t="s">
        <v>78</v>
      </c>
      <c r="E45">
        <v>188.38300000000001</v>
      </c>
      <c r="F45">
        <v>189.44499999999999</v>
      </c>
      <c r="G45">
        <v>4.1500000000000004</v>
      </c>
      <c r="H45">
        <v>169.61500000000001</v>
      </c>
      <c r="I45">
        <v>1.1702127659574468E-2</v>
      </c>
      <c r="J45">
        <v>205.93700000000001</v>
      </c>
      <c r="K45">
        <v>0</v>
      </c>
      <c r="L45">
        <v>0.71599999999999997</v>
      </c>
      <c r="M45">
        <v>-26.216999999999999</v>
      </c>
      <c r="N45">
        <v>666.42700000000002</v>
      </c>
      <c r="O45">
        <v>634.53200000000004</v>
      </c>
      <c r="P45">
        <v>62.656999999999996</v>
      </c>
      <c r="Q45">
        <v>589.20899999999995</v>
      </c>
      <c r="R45">
        <v>906.47500000000002</v>
      </c>
      <c r="S45">
        <v>1202.6980000000001</v>
      </c>
      <c r="T45">
        <v>1223.741</v>
      </c>
      <c r="U45">
        <v>42.475000000000001</v>
      </c>
      <c r="V45">
        <v>1087.77</v>
      </c>
      <c r="W45">
        <v>1450.36</v>
      </c>
      <c r="X45">
        <v>3965.288</v>
      </c>
      <c r="Y45">
        <v>3988.489</v>
      </c>
      <c r="Z45">
        <v>233.60900000000001</v>
      </c>
      <c r="AA45">
        <v>3353.9569999999999</v>
      </c>
      <c r="AB45">
        <v>4396.4030000000002</v>
      </c>
      <c r="AC45">
        <v>1.88</v>
      </c>
      <c r="AD45">
        <v>197.64099999999999</v>
      </c>
      <c r="AE45">
        <v>197.88499999999999</v>
      </c>
      <c r="AF45">
        <v>3.5510000000000002</v>
      </c>
      <c r="AG45">
        <v>177.31200000000001</v>
      </c>
      <c r="AH45">
        <v>8.5470085470085479E-3</v>
      </c>
      <c r="AI45">
        <v>211.149</v>
      </c>
      <c r="AJ45">
        <v>1</v>
      </c>
      <c r="AK45">
        <v>0.77900000000000003</v>
      </c>
      <c r="AL45">
        <v>-26.358000000000001</v>
      </c>
      <c r="AM45">
        <v>316.12900000000002</v>
      </c>
      <c r="AN45">
        <v>331.935</v>
      </c>
      <c r="AO45">
        <v>22.542000000000002</v>
      </c>
      <c r="AP45">
        <v>284.51600000000002</v>
      </c>
      <c r="AQ45">
        <v>331.935</v>
      </c>
      <c r="AR45">
        <v>2391.9569999999999</v>
      </c>
      <c r="AS45">
        <v>2465.806</v>
      </c>
      <c r="AT45">
        <v>189.583</v>
      </c>
      <c r="AU45">
        <v>1422.5809999999999</v>
      </c>
      <c r="AV45">
        <v>2513.2260000000001</v>
      </c>
      <c r="AW45">
        <v>3202.5309999999999</v>
      </c>
      <c r="AX45">
        <v>3129.6770000000001</v>
      </c>
      <c r="AY45">
        <v>166.84200000000001</v>
      </c>
      <c r="AZ45">
        <v>2987.4189999999999</v>
      </c>
      <c r="BA45">
        <v>3840.9679999999998</v>
      </c>
      <c r="BB45">
        <v>2.34</v>
      </c>
      <c r="BC45">
        <v>191.166</v>
      </c>
      <c r="BD45">
        <v>200.13</v>
      </c>
      <c r="BE45">
        <v>28.332999999999998</v>
      </c>
      <c r="BF45">
        <v>101.54600000000001</v>
      </c>
      <c r="BG45">
        <v>0.94430379746835436</v>
      </c>
      <c r="BH45">
        <v>204.167</v>
      </c>
      <c r="BI45">
        <v>0.16582278481012658</v>
      </c>
      <c r="BJ45">
        <v>3.016</v>
      </c>
      <c r="BK45">
        <v>-23.760999999999999</v>
      </c>
      <c r="BL45">
        <v>362.827</v>
      </c>
      <c r="BM45">
        <v>369.42399999999998</v>
      </c>
      <c r="BN45">
        <v>16.276</v>
      </c>
      <c r="BO45">
        <v>323.24599999999998</v>
      </c>
      <c r="BP45">
        <v>369.42399999999998</v>
      </c>
      <c r="BQ45">
        <v>1017.199</v>
      </c>
      <c r="BR45">
        <v>1015.9160000000001</v>
      </c>
      <c r="BS45">
        <v>88.358000000000004</v>
      </c>
      <c r="BT45">
        <v>969.73800000000006</v>
      </c>
      <c r="BU45">
        <v>1570.0519999999999</v>
      </c>
      <c r="BV45">
        <v>2766.1909999999998</v>
      </c>
      <c r="BW45">
        <v>2770.681</v>
      </c>
      <c r="BX45">
        <v>123.559</v>
      </c>
      <c r="BY45">
        <v>2539.7910000000002</v>
      </c>
      <c r="BZ45">
        <v>3417.1729999999998</v>
      </c>
      <c r="CA45">
        <v>1.58</v>
      </c>
      <c r="CB45">
        <v>7</v>
      </c>
      <c r="CC45">
        <v>3</v>
      </c>
      <c r="CD45">
        <v>0</v>
      </c>
      <c r="CE45">
        <v>4</v>
      </c>
      <c r="CF45">
        <v>0</v>
      </c>
    </row>
    <row r="46" spans="1:84" x14ac:dyDescent="0.35">
      <c r="A46" t="s">
        <v>182</v>
      </c>
      <c r="B46" t="str">
        <f t="shared" si="2"/>
        <v xml:space="preserve"> cl_bo_1987_10_16_628</v>
      </c>
      <c r="C46" s="1">
        <f t="shared" si="3"/>
        <v>45753</v>
      </c>
      <c r="D46" t="s">
        <v>78</v>
      </c>
      <c r="E46">
        <v>146.82599999999999</v>
      </c>
      <c r="F46">
        <v>146.19999999999999</v>
      </c>
      <c r="G46">
        <v>5.86</v>
      </c>
      <c r="H46">
        <v>140.31800000000001</v>
      </c>
      <c r="I46">
        <v>2.5000000000000001E-2</v>
      </c>
      <c r="J46">
        <v>195.50299999999999</v>
      </c>
      <c r="K46">
        <v>0</v>
      </c>
      <c r="L46">
        <v>0.90900000000000003</v>
      </c>
      <c r="M46">
        <v>-21.460999999999999</v>
      </c>
      <c r="N46">
        <v>681.39400000000001</v>
      </c>
      <c r="O46">
        <v>701.11300000000006</v>
      </c>
      <c r="P46">
        <v>50.768000000000001</v>
      </c>
      <c r="Q46">
        <v>595.94600000000003</v>
      </c>
      <c r="R46">
        <v>806.28</v>
      </c>
      <c r="S46">
        <v>1145.1510000000001</v>
      </c>
      <c r="T46">
        <v>1156.836</v>
      </c>
      <c r="U46">
        <v>49.351999999999997</v>
      </c>
      <c r="V46">
        <v>1086.7249999999999</v>
      </c>
      <c r="W46">
        <v>1437.2809999999999</v>
      </c>
      <c r="X46">
        <v>2275.1109999999999</v>
      </c>
      <c r="Y46">
        <v>2278.6170000000002</v>
      </c>
      <c r="Z46">
        <v>100.64700000000001</v>
      </c>
      <c r="AA46">
        <v>2103.3389999999999</v>
      </c>
      <c r="AB46">
        <v>2734.34</v>
      </c>
      <c r="AC46">
        <v>2.3199999999999998</v>
      </c>
      <c r="AD46">
        <v>205.21100000000001</v>
      </c>
      <c r="AE46">
        <v>155.51900000000001</v>
      </c>
      <c r="AF46">
        <v>68.388000000000005</v>
      </c>
      <c r="AG46">
        <v>139.30500000000001</v>
      </c>
      <c r="AH46">
        <v>0.982421875</v>
      </c>
      <c r="AI46">
        <v>300</v>
      </c>
      <c r="AJ46">
        <v>0.578125</v>
      </c>
      <c r="AK46">
        <v>4.1079999999999997</v>
      </c>
      <c r="AL46">
        <v>-22.776</v>
      </c>
      <c r="AM46">
        <v>301.86</v>
      </c>
      <c r="AN46">
        <v>298.30900000000003</v>
      </c>
      <c r="AO46">
        <v>17.984999999999999</v>
      </c>
      <c r="AP46">
        <v>298.30900000000003</v>
      </c>
      <c r="AQ46">
        <v>447.46300000000002</v>
      </c>
      <c r="AR46">
        <v>1648.654</v>
      </c>
      <c r="AS46">
        <v>1590.981</v>
      </c>
      <c r="AT46">
        <v>182.958</v>
      </c>
      <c r="AU46">
        <v>1342.39</v>
      </c>
      <c r="AV46">
        <v>2287.0349999999999</v>
      </c>
      <c r="AW46">
        <v>3042.277</v>
      </c>
      <c r="AX46">
        <v>3082.5250000000001</v>
      </c>
      <c r="AY46">
        <v>137.59800000000001</v>
      </c>
      <c r="AZ46">
        <v>2336.7530000000002</v>
      </c>
      <c r="BA46">
        <v>3331.116</v>
      </c>
      <c r="BB46">
        <v>2.56</v>
      </c>
      <c r="BC46">
        <v>152.42599999999999</v>
      </c>
      <c r="BD46">
        <v>149.05799999999999</v>
      </c>
      <c r="BE46">
        <v>13.141999999999999</v>
      </c>
      <c r="BF46">
        <v>140</v>
      </c>
      <c r="BG46">
        <v>0.99105691056910572</v>
      </c>
      <c r="BH46">
        <v>228.667</v>
      </c>
      <c r="BI46">
        <v>0</v>
      </c>
      <c r="BJ46">
        <v>1.026</v>
      </c>
      <c r="BK46">
        <v>-26.213000000000001</v>
      </c>
      <c r="BL46">
        <v>378.60199999999998</v>
      </c>
      <c r="BM46">
        <v>365.06599999999997</v>
      </c>
      <c r="BN46">
        <v>38.674999999999997</v>
      </c>
      <c r="BO46">
        <v>328.56</v>
      </c>
      <c r="BP46">
        <v>657.11900000000003</v>
      </c>
      <c r="BQ46">
        <v>1060.8399999999999</v>
      </c>
      <c r="BR46">
        <v>1022.1849999999999</v>
      </c>
      <c r="BS46">
        <v>122.767</v>
      </c>
      <c r="BT46">
        <v>985.67899999999997</v>
      </c>
      <c r="BU46">
        <v>1460.2650000000001</v>
      </c>
      <c r="BV46">
        <v>2966.471</v>
      </c>
      <c r="BW46">
        <v>2920.53</v>
      </c>
      <c r="BX46">
        <v>198.78</v>
      </c>
      <c r="BY46">
        <v>2628.4769999999999</v>
      </c>
      <c r="BZ46">
        <v>3942.7150000000001</v>
      </c>
      <c r="CA46">
        <v>2.46</v>
      </c>
    </row>
    <row r="47" spans="1:84" x14ac:dyDescent="0.35">
      <c r="A47" t="s">
        <v>139</v>
      </c>
      <c r="B47" t="str">
        <f t="shared" si="2"/>
        <v xml:space="preserve"> cl_de_1999_11_04_085</v>
      </c>
      <c r="C47" s="1">
        <f t="shared" si="3"/>
        <v>45751</v>
      </c>
      <c r="D47" t="s">
        <v>78</v>
      </c>
      <c r="E47">
        <v>206.14400000000001</v>
      </c>
      <c r="F47">
        <v>205.11600000000001</v>
      </c>
      <c r="G47">
        <v>3.9409999999999998</v>
      </c>
      <c r="H47">
        <v>202.42599999999999</v>
      </c>
      <c r="I47">
        <v>0.96527777777777768</v>
      </c>
      <c r="J47">
        <v>228.667</v>
      </c>
      <c r="K47">
        <v>9.2592592592592587E-3</v>
      </c>
      <c r="L47">
        <v>0.48299999999999998</v>
      </c>
      <c r="M47">
        <v>-27.556000000000001</v>
      </c>
      <c r="N47">
        <v>515.81100000000004</v>
      </c>
      <c r="O47">
        <v>498.86900000000003</v>
      </c>
      <c r="P47">
        <v>78.466999999999999</v>
      </c>
      <c r="Q47">
        <v>399.09500000000003</v>
      </c>
      <c r="R47">
        <v>1047.624</v>
      </c>
      <c r="S47">
        <v>1208.6880000000001</v>
      </c>
      <c r="T47">
        <v>1197.2850000000001</v>
      </c>
      <c r="U47">
        <v>50.485999999999997</v>
      </c>
      <c r="V47">
        <v>1097.511</v>
      </c>
      <c r="W47">
        <v>1496.606</v>
      </c>
      <c r="X47">
        <v>3383.8359999999998</v>
      </c>
      <c r="Y47">
        <v>3392.308</v>
      </c>
      <c r="Z47">
        <v>283.08100000000002</v>
      </c>
      <c r="AA47">
        <v>2594.1179999999999</v>
      </c>
      <c r="AB47">
        <v>4240.3850000000002</v>
      </c>
      <c r="AC47">
        <v>2.16</v>
      </c>
      <c r="AD47">
        <v>205.417</v>
      </c>
      <c r="AE47">
        <v>204.98</v>
      </c>
      <c r="AF47">
        <v>3.9359999999999999</v>
      </c>
      <c r="AG47">
        <v>198.26599999999999</v>
      </c>
      <c r="AH47">
        <v>0.97453703703703698</v>
      </c>
      <c r="AI47">
        <v>238.37799999999999</v>
      </c>
      <c r="AJ47">
        <v>0</v>
      </c>
      <c r="AK47">
        <v>0.41</v>
      </c>
      <c r="AL47">
        <v>-28.006</v>
      </c>
      <c r="AM47">
        <v>346.20299999999997</v>
      </c>
      <c r="AN47">
        <v>345.68900000000002</v>
      </c>
      <c r="AO47">
        <v>5.04</v>
      </c>
      <c r="AP47">
        <v>345.68900000000002</v>
      </c>
      <c r="AQ47">
        <v>395.07299999999998</v>
      </c>
      <c r="AR47">
        <v>2286.4839999999999</v>
      </c>
      <c r="AS47">
        <v>2345.7449999999999</v>
      </c>
      <c r="AT47">
        <v>194.84299999999999</v>
      </c>
      <c r="AU47">
        <v>1777.828</v>
      </c>
      <c r="AV47">
        <v>2469.2049999999999</v>
      </c>
      <c r="AW47">
        <v>3473.348</v>
      </c>
      <c r="AX47">
        <v>3456.8870000000002</v>
      </c>
      <c r="AY47">
        <v>151.54300000000001</v>
      </c>
      <c r="AZ47">
        <v>3160.5819999999999</v>
      </c>
      <c r="BA47">
        <v>3901.3440000000001</v>
      </c>
      <c r="BB47">
        <v>2.16</v>
      </c>
      <c r="BC47">
        <v>208.60300000000001</v>
      </c>
      <c r="BD47">
        <v>207.59899999999999</v>
      </c>
      <c r="BE47">
        <v>5.3579999999999997</v>
      </c>
      <c r="BF47">
        <v>202.959</v>
      </c>
      <c r="BG47">
        <v>0.97500000000000009</v>
      </c>
      <c r="BH47">
        <v>248.15100000000001</v>
      </c>
      <c r="BI47">
        <v>0</v>
      </c>
      <c r="BJ47">
        <v>0.45400000000000001</v>
      </c>
      <c r="BK47">
        <v>-29.177</v>
      </c>
      <c r="BL47">
        <v>345.78800000000001</v>
      </c>
      <c r="BM47">
        <v>352.8</v>
      </c>
      <c r="BN47">
        <v>23.963999999999999</v>
      </c>
      <c r="BO47">
        <v>302.39999999999998</v>
      </c>
      <c r="BP47">
        <v>453.6</v>
      </c>
      <c r="BQ47">
        <v>1080.8</v>
      </c>
      <c r="BR47">
        <v>1008</v>
      </c>
      <c r="BS47">
        <v>157.59800000000001</v>
      </c>
      <c r="BT47">
        <v>957.6</v>
      </c>
      <c r="BU47">
        <v>1461.6</v>
      </c>
      <c r="BV47">
        <v>3579.7150000000001</v>
      </c>
      <c r="BW47">
        <v>3578.4</v>
      </c>
      <c r="BX47">
        <v>182.51</v>
      </c>
      <c r="BY47">
        <v>3024</v>
      </c>
      <c r="BZ47">
        <v>4132.8</v>
      </c>
      <c r="CA47">
        <v>2.3199999999999998</v>
      </c>
      <c r="CB47">
        <v>6</v>
      </c>
      <c r="CC47">
        <v>0</v>
      </c>
      <c r="CD47">
        <v>0</v>
      </c>
      <c r="CE47">
        <v>1</v>
      </c>
      <c r="CF47">
        <v>0</v>
      </c>
    </row>
    <row r="48" spans="1:84" x14ac:dyDescent="0.35">
      <c r="A48" t="s">
        <v>118</v>
      </c>
      <c r="B48" t="str">
        <f t="shared" si="2"/>
        <v xml:space="preserve"> cl_me_2004_10_20_681</v>
      </c>
      <c r="C48" s="1">
        <f t="shared" si="3"/>
        <v>45750</v>
      </c>
      <c r="D48" t="s">
        <v>78</v>
      </c>
      <c r="E48">
        <v>186.20500000000001</v>
      </c>
      <c r="F48">
        <v>185.072</v>
      </c>
      <c r="G48">
        <v>5.9790000000000001</v>
      </c>
      <c r="H48">
        <v>180.10499999999999</v>
      </c>
      <c r="I48">
        <v>0.80724637681159439</v>
      </c>
      <c r="J48">
        <v>213.63300000000001</v>
      </c>
      <c r="K48">
        <v>0</v>
      </c>
      <c r="L48">
        <v>0.90800000000000003</v>
      </c>
      <c r="M48">
        <v>-23.306999999999999</v>
      </c>
      <c r="N48">
        <v>702.13499999999999</v>
      </c>
      <c r="O48">
        <v>701.39200000000005</v>
      </c>
      <c r="P48">
        <v>58.976999999999997</v>
      </c>
      <c r="Q48">
        <v>657.55499999999995</v>
      </c>
      <c r="R48">
        <v>920.577</v>
      </c>
      <c r="S48">
        <v>1194.18</v>
      </c>
      <c r="T48">
        <v>1183.598</v>
      </c>
      <c r="U48">
        <v>90.067999999999998</v>
      </c>
      <c r="V48">
        <v>1008.25</v>
      </c>
      <c r="W48">
        <v>1490.4570000000001</v>
      </c>
      <c r="X48">
        <v>3029.2089999999998</v>
      </c>
      <c r="Y48">
        <v>2980.915</v>
      </c>
      <c r="Z48">
        <v>187.88</v>
      </c>
      <c r="AA48">
        <v>2761.73</v>
      </c>
      <c r="AB48">
        <v>4339.8609999999999</v>
      </c>
      <c r="AC48">
        <v>1.38</v>
      </c>
      <c r="AD48">
        <v>189.869</v>
      </c>
      <c r="AE48">
        <v>187.375</v>
      </c>
      <c r="AF48">
        <v>7.9550000000000001</v>
      </c>
      <c r="AG48">
        <v>184.29900000000001</v>
      </c>
      <c r="AH48">
        <v>0.23939393939393938</v>
      </c>
      <c r="AI48">
        <v>226.48599999999999</v>
      </c>
      <c r="AJ48">
        <v>1.7424242424242422E-2</v>
      </c>
      <c r="AK48">
        <v>0.74099999999999999</v>
      </c>
      <c r="AL48">
        <v>-29.39</v>
      </c>
      <c r="AM48">
        <v>361.18700000000001</v>
      </c>
      <c r="AN48">
        <v>360.36799999999999</v>
      </c>
      <c r="AO48">
        <v>6074</v>
      </c>
      <c r="AP48">
        <v>360.36799999999999</v>
      </c>
      <c r="AQ48">
        <v>405.41399999999999</v>
      </c>
      <c r="AR48">
        <v>2315.6959999999999</v>
      </c>
      <c r="AS48">
        <v>2342.39</v>
      </c>
      <c r="AT48">
        <v>144.22200000000001</v>
      </c>
      <c r="AU48">
        <v>1936.9770000000001</v>
      </c>
      <c r="AV48">
        <v>2522.5740000000001</v>
      </c>
      <c r="AW48">
        <v>3240.98</v>
      </c>
      <c r="AX48">
        <v>3198.2640000000001</v>
      </c>
      <c r="AY48">
        <v>147.70500000000001</v>
      </c>
      <c r="AZ48">
        <v>3018.08</v>
      </c>
      <c r="BA48">
        <v>3738.8150000000001</v>
      </c>
      <c r="BB48">
        <v>1.32</v>
      </c>
      <c r="BC48">
        <v>188.97900000000001</v>
      </c>
      <c r="BD48">
        <v>185.964</v>
      </c>
      <c r="BE48">
        <v>13.601000000000001</v>
      </c>
      <c r="BF48">
        <v>183.96899999999999</v>
      </c>
      <c r="BG48">
        <v>0.74843749999999998</v>
      </c>
      <c r="BH48">
        <v>284.779</v>
      </c>
      <c r="BI48">
        <v>1.7187499999999998E-2</v>
      </c>
      <c r="BJ48">
        <v>1.502</v>
      </c>
      <c r="BK48">
        <v>-31.620999999999999</v>
      </c>
      <c r="BL48">
        <v>376.43</v>
      </c>
      <c r="BM48">
        <v>365.21699999999998</v>
      </c>
      <c r="BN48">
        <v>62.975000000000001</v>
      </c>
      <c r="BO48">
        <v>319.565</v>
      </c>
      <c r="BP48">
        <v>776.08699999999999</v>
      </c>
      <c r="BQ48">
        <v>1214.348</v>
      </c>
      <c r="BR48">
        <v>1186.9570000000001</v>
      </c>
      <c r="BS48">
        <v>127.5</v>
      </c>
      <c r="BT48">
        <v>1095.652</v>
      </c>
      <c r="BU48">
        <v>1369.5650000000001</v>
      </c>
      <c r="BV48">
        <v>3628.1460000000002</v>
      </c>
      <c r="BW48">
        <v>3606.5219999999999</v>
      </c>
      <c r="BX48">
        <v>255.80099999999999</v>
      </c>
      <c r="BY48">
        <v>3058.6959999999999</v>
      </c>
      <c r="BZ48">
        <v>4245.652</v>
      </c>
      <c r="CA48">
        <v>1.28</v>
      </c>
      <c r="CB48">
        <v>7</v>
      </c>
      <c r="CC48">
        <v>4</v>
      </c>
      <c r="CD48">
        <v>0</v>
      </c>
      <c r="CE48">
        <v>6</v>
      </c>
      <c r="CF48">
        <v>6</v>
      </c>
    </row>
    <row r="49" spans="1:84" x14ac:dyDescent="0.35">
      <c r="A49" t="s">
        <v>183</v>
      </c>
      <c r="B49" t="str">
        <f t="shared" si="2"/>
        <v xml:space="preserve"> cl_ra_2005_06_17_016</v>
      </c>
      <c r="C49" s="1">
        <f t="shared" si="3"/>
        <v>45753</v>
      </c>
      <c r="D49" t="s">
        <v>78</v>
      </c>
      <c r="E49">
        <v>197.773</v>
      </c>
      <c r="F49">
        <v>195.93799999999999</v>
      </c>
      <c r="G49">
        <v>5.4649999999999999</v>
      </c>
      <c r="H49">
        <v>182.66300000000001</v>
      </c>
      <c r="I49">
        <v>0.96850393700787396</v>
      </c>
      <c r="J49">
        <v>221.29</v>
      </c>
      <c r="K49">
        <v>8.2677165354330708E-3</v>
      </c>
      <c r="L49">
        <v>0.50800000000000001</v>
      </c>
      <c r="M49">
        <v>-24.606999999999999</v>
      </c>
      <c r="N49">
        <v>716.226</v>
      </c>
      <c r="O49">
        <v>719.02200000000005</v>
      </c>
      <c r="P49">
        <v>58.393000000000001</v>
      </c>
      <c r="Q49">
        <v>575.21699999999998</v>
      </c>
      <c r="R49">
        <v>1054.5650000000001</v>
      </c>
      <c r="S49">
        <v>1240.838</v>
      </c>
      <c r="T49">
        <v>1246.3040000000001</v>
      </c>
      <c r="U49">
        <v>82.103999999999999</v>
      </c>
      <c r="V49">
        <v>1054.5650000000001</v>
      </c>
      <c r="W49">
        <v>1581.848</v>
      </c>
      <c r="X49">
        <v>2431.4920000000002</v>
      </c>
      <c r="Y49">
        <v>2444.674</v>
      </c>
      <c r="Z49">
        <v>115.419</v>
      </c>
      <c r="AA49">
        <v>2205</v>
      </c>
      <c r="AB49">
        <v>2732.2829999999999</v>
      </c>
      <c r="AC49">
        <v>2.54</v>
      </c>
      <c r="AD49">
        <v>193.01300000000001</v>
      </c>
      <c r="AE49">
        <v>194.518</v>
      </c>
      <c r="AF49">
        <v>14.839</v>
      </c>
      <c r="AG49">
        <v>107.22499999999999</v>
      </c>
      <c r="AH49">
        <v>1.7622950819672131E-2</v>
      </c>
      <c r="AI49">
        <v>210.286</v>
      </c>
      <c r="AJ49">
        <v>3.5655737704918034E-2</v>
      </c>
      <c r="AK49">
        <v>1.401</v>
      </c>
      <c r="AL49">
        <v>-25.841000000000001</v>
      </c>
      <c r="AM49">
        <v>328.09399999999999</v>
      </c>
      <c r="AN49">
        <v>325.97699999999998</v>
      </c>
      <c r="AO49">
        <v>12.738</v>
      </c>
      <c r="AP49">
        <v>279.40899999999999</v>
      </c>
      <c r="AQ49">
        <v>372.54500000000002</v>
      </c>
      <c r="AR49">
        <v>2390.3069999999998</v>
      </c>
      <c r="AS49">
        <v>2421.5419999999999</v>
      </c>
      <c r="AT49">
        <v>76.064999999999998</v>
      </c>
      <c r="AU49">
        <v>2188.701</v>
      </c>
      <c r="AV49">
        <v>2514.6779999999999</v>
      </c>
      <c r="AW49">
        <v>2888.0540000000001</v>
      </c>
      <c r="AX49">
        <v>2840.6550000000002</v>
      </c>
      <c r="AY49">
        <v>116.27</v>
      </c>
      <c r="AZ49">
        <v>2561.2460000000001</v>
      </c>
      <c r="BA49">
        <v>3259.768</v>
      </c>
      <c r="BB49">
        <v>2.44</v>
      </c>
      <c r="BC49">
        <v>199.578</v>
      </c>
      <c r="BD49">
        <v>195.876</v>
      </c>
      <c r="BE49">
        <v>14.284000000000001</v>
      </c>
      <c r="BF49">
        <v>184.18899999999999</v>
      </c>
      <c r="BG49">
        <v>0.98750000000000004</v>
      </c>
      <c r="BH49">
        <v>297.97300000000001</v>
      </c>
      <c r="BI49">
        <v>0</v>
      </c>
      <c r="BJ49">
        <v>0.71299999999999997</v>
      </c>
      <c r="BK49">
        <v>-28.44</v>
      </c>
      <c r="BL49">
        <v>370.54399999999998</v>
      </c>
      <c r="BM49">
        <v>380.58300000000003</v>
      </c>
      <c r="BN49">
        <v>34.906999999999996</v>
      </c>
      <c r="BO49">
        <v>285.43700000000001</v>
      </c>
      <c r="BP49">
        <v>570.87400000000002</v>
      </c>
      <c r="BQ49">
        <v>1072.2760000000001</v>
      </c>
      <c r="BR49">
        <v>1046.6020000000001</v>
      </c>
      <c r="BS49">
        <v>57.206000000000003</v>
      </c>
      <c r="BT49">
        <v>999.029</v>
      </c>
      <c r="BU49">
        <v>1427.184</v>
      </c>
      <c r="BV49">
        <v>2778.8629999999998</v>
      </c>
      <c r="BW49">
        <v>2759.223</v>
      </c>
      <c r="BX49">
        <v>309.88099999999997</v>
      </c>
      <c r="BY49">
        <v>2283.4949999999999</v>
      </c>
      <c r="BZ49">
        <v>3567.9609999999998</v>
      </c>
      <c r="CA49">
        <v>2.3199999999999998</v>
      </c>
    </row>
    <row r="50" spans="1:84" x14ac:dyDescent="0.35">
      <c r="A50" t="s">
        <v>158</v>
      </c>
      <c r="B50" t="str">
        <f t="shared" si="2"/>
        <v xml:space="preserve"> da_ba_1996_03_25_685</v>
      </c>
      <c r="C50" s="1">
        <f t="shared" si="3"/>
        <v>45752</v>
      </c>
      <c r="D50" t="s">
        <v>78</v>
      </c>
      <c r="E50">
        <v>183.072</v>
      </c>
      <c r="F50">
        <v>183.20500000000001</v>
      </c>
      <c r="G50">
        <v>2.0939999999999999</v>
      </c>
      <c r="H50">
        <v>175.398</v>
      </c>
      <c r="I50">
        <v>1</v>
      </c>
      <c r="J50">
        <v>195.50299999999999</v>
      </c>
      <c r="K50">
        <v>6.3694267515923561E-3</v>
      </c>
      <c r="L50">
        <v>0.48599999999999999</v>
      </c>
      <c r="M50">
        <v>-28.891999999999999</v>
      </c>
      <c r="N50">
        <v>355.61</v>
      </c>
      <c r="O50">
        <v>348.61700000000002</v>
      </c>
      <c r="P50">
        <v>17.507999999999999</v>
      </c>
      <c r="Q50">
        <v>305.04000000000002</v>
      </c>
      <c r="R50">
        <v>392.19400000000002</v>
      </c>
      <c r="S50">
        <v>2456.944</v>
      </c>
      <c r="T50">
        <v>2483.893</v>
      </c>
      <c r="U50">
        <v>122.423</v>
      </c>
      <c r="V50">
        <v>1525.1980000000001</v>
      </c>
      <c r="W50">
        <v>2614.625</v>
      </c>
      <c r="X50">
        <v>3498.9830000000002</v>
      </c>
      <c r="Y50">
        <v>3486.1660000000002</v>
      </c>
      <c r="Z50">
        <v>176.72200000000001</v>
      </c>
      <c r="AA50">
        <v>2745.3560000000002</v>
      </c>
      <c r="AB50">
        <v>4052.6680000000001</v>
      </c>
      <c r="AC50">
        <v>3.14</v>
      </c>
      <c r="AD50">
        <v>185.023</v>
      </c>
      <c r="AE50">
        <v>181.96299999999999</v>
      </c>
      <c r="AF50">
        <v>21.916</v>
      </c>
      <c r="AG50">
        <v>96.983999999999995</v>
      </c>
      <c r="AH50">
        <v>5.8673469387755103E-3</v>
      </c>
      <c r="AI50">
        <v>319.565</v>
      </c>
      <c r="AJ50">
        <v>2.3469387755102041E-2</v>
      </c>
      <c r="AK50">
        <v>3.5329999999999999</v>
      </c>
      <c r="AL50">
        <v>-27.626000000000001</v>
      </c>
      <c r="AM50">
        <v>357.875</v>
      </c>
      <c r="AN50">
        <v>350.34800000000001</v>
      </c>
      <c r="AO50">
        <v>31.748000000000001</v>
      </c>
      <c r="AP50">
        <v>262.76100000000002</v>
      </c>
      <c r="AQ50">
        <v>437.93400000000003</v>
      </c>
      <c r="AR50">
        <v>2308.54</v>
      </c>
      <c r="AS50">
        <v>2452.433</v>
      </c>
      <c r="AT50">
        <v>387.702</v>
      </c>
      <c r="AU50">
        <v>1007.249</v>
      </c>
      <c r="AV50">
        <v>2540.02</v>
      </c>
      <c r="AW50">
        <v>3340.152</v>
      </c>
      <c r="AX50">
        <v>3284.5079999999998</v>
      </c>
      <c r="AY50">
        <v>289.77999999999997</v>
      </c>
      <c r="AZ50">
        <v>2715.194</v>
      </c>
      <c r="BA50">
        <v>4510.7250000000004</v>
      </c>
      <c r="BB50">
        <v>3.92</v>
      </c>
      <c r="BC50">
        <v>182.114</v>
      </c>
      <c r="BD50">
        <v>182.23099999999999</v>
      </c>
      <c r="BE50">
        <v>2.1720000000000002</v>
      </c>
      <c r="BF50">
        <v>167.68100000000001</v>
      </c>
      <c r="BG50">
        <v>0</v>
      </c>
      <c r="BH50">
        <v>185.74</v>
      </c>
      <c r="BI50">
        <v>0.54598540145985397</v>
      </c>
      <c r="BJ50">
        <v>0.46500000000000002</v>
      </c>
      <c r="BK50">
        <v>-28.184999999999999</v>
      </c>
      <c r="BL50">
        <v>343.767</v>
      </c>
      <c r="BM50">
        <v>345.20499999999998</v>
      </c>
      <c r="BN50">
        <v>7789</v>
      </c>
      <c r="BO50">
        <v>302.05500000000001</v>
      </c>
      <c r="BP50">
        <v>345.20499999999998</v>
      </c>
      <c r="BQ50">
        <v>2498.4250000000002</v>
      </c>
      <c r="BR50">
        <v>2502.7399999999998</v>
      </c>
      <c r="BS50">
        <v>89.71</v>
      </c>
      <c r="BT50">
        <v>2286.9859999999999</v>
      </c>
      <c r="BU50">
        <v>2589.0410000000002</v>
      </c>
      <c r="BV50">
        <v>3272.4450000000002</v>
      </c>
      <c r="BW50">
        <v>3236.3009999999999</v>
      </c>
      <c r="BX50">
        <v>219.36500000000001</v>
      </c>
      <c r="BY50">
        <v>2847.9450000000002</v>
      </c>
      <c r="BZ50">
        <v>4185.616</v>
      </c>
      <c r="CA50">
        <v>2.74</v>
      </c>
      <c r="CB50">
        <v>6</v>
      </c>
      <c r="CC50">
        <v>7</v>
      </c>
      <c r="CD50">
        <v>1</v>
      </c>
      <c r="CE50">
        <v>4</v>
      </c>
      <c r="CF50">
        <v>6</v>
      </c>
    </row>
    <row r="51" spans="1:84" x14ac:dyDescent="0.35">
      <c r="A51" t="s">
        <v>159</v>
      </c>
      <c r="B51" t="str">
        <f t="shared" si="2"/>
        <v xml:space="preserve"> el_br_2002_07_12_207</v>
      </c>
      <c r="C51" s="1">
        <f t="shared" si="3"/>
        <v>45752</v>
      </c>
      <c r="D51" t="s">
        <v>78</v>
      </c>
      <c r="E51">
        <v>172.386</v>
      </c>
      <c r="F51">
        <v>172.506</v>
      </c>
      <c r="G51">
        <v>1.8360000000000001</v>
      </c>
      <c r="H51">
        <v>164.72800000000001</v>
      </c>
      <c r="I51">
        <v>1.1627906976744186E-2</v>
      </c>
      <c r="J51">
        <v>176.19900000000001</v>
      </c>
      <c r="K51">
        <v>4.0116279069767447E-2</v>
      </c>
      <c r="L51">
        <v>0.50700000000000001</v>
      </c>
      <c r="M51">
        <v>-20.529</v>
      </c>
      <c r="N51">
        <v>716.71299999999997</v>
      </c>
      <c r="O51">
        <v>701.96600000000001</v>
      </c>
      <c r="P51">
        <v>58.411000000000001</v>
      </c>
      <c r="Q51">
        <v>578.09</v>
      </c>
      <c r="R51">
        <v>867.13499999999999</v>
      </c>
      <c r="S51">
        <v>1114.271</v>
      </c>
      <c r="T51">
        <v>1073.596</v>
      </c>
      <c r="U51">
        <v>66.849999999999994</v>
      </c>
      <c r="V51">
        <v>1032.3030000000001</v>
      </c>
      <c r="W51">
        <v>1280.056</v>
      </c>
      <c r="X51">
        <v>2704.0450000000001</v>
      </c>
      <c r="Y51">
        <v>2704.6350000000002</v>
      </c>
      <c r="Z51">
        <v>145.565</v>
      </c>
      <c r="AA51">
        <v>2353.652</v>
      </c>
      <c r="AB51">
        <v>3055.6179999999999</v>
      </c>
      <c r="AC51">
        <v>1.72</v>
      </c>
      <c r="AD51">
        <v>174.352</v>
      </c>
      <c r="AE51">
        <v>173.57300000000001</v>
      </c>
      <c r="AF51">
        <v>2.9780000000000002</v>
      </c>
      <c r="AG51">
        <v>171.31</v>
      </c>
      <c r="AH51">
        <v>0.25749999999999995</v>
      </c>
      <c r="AI51">
        <v>187.09100000000001</v>
      </c>
      <c r="AJ51">
        <v>1.4999999999999999E-2</v>
      </c>
      <c r="AK51">
        <v>0.52300000000000002</v>
      </c>
      <c r="AL51">
        <v>-25.492000000000001</v>
      </c>
      <c r="AM51">
        <v>339.17200000000003</v>
      </c>
      <c r="AN51">
        <v>335.36099999999999</v>
      </c>
      <c r="AO51">
        <v>26.233000000000001</v>
      </c>
      <c r="AP51">
        <v>335.36099999999999</v>
      </c>
      <c r="AQ51">
        <v>544.96199999999999</v>
      </c>
      <c r="AR51">
        <v>2330.5990000000002</v>
      </c>
      <c r="AS51">
        <v>2389.4490000000001</v>
      </c>
      <c r="AT51">
        <v>187.52</v>
      </c>
      <c r="AU51">
        <v>1718.7260000000001</v>
      </c>
      <c r="AV51">
        <v>2557.1289999999999</v>
      </c>
      <c r="AW51">
        <v>3450.1559999999999</v>
      </c>
      <c r="AX51">
        <v>3458.413</v>
      </c>
      <c r="AY51">
        <v>156.328</v>
      </c>
      <c r="AZ51">
        <v>3102.0909999999999</v>
      </c>
      <c r="BA51">
        <v>3898.5740000000001</v>
      </c>
      <c r="BB51">
        <v>1.6</v>
      </c>
      <c r="BC51">
        <v>176.94200000000001</v>
      </c>
      <c r="BD51">
        <v>174.40700000000001</v>
      </c>
      <c r="BE51">
        <v>6.06</v>
      </c>
      <c r="BF51">
        <v>165.345</v>
      </c>
      <c r="BG51">
        <v>0.97045454545454546</v>
      </c>
      <c r="BH51">
        <v>197.37899999999999</v>
      </c>
      <c r="BI51">
        <v>1.3636363636363637E-2</v>
      </c>
      <c r="BJ51">
        <v>0.64200000000000002</v>
      </c>
      <c r="BK51">
        <v>-26.387</v>
      </c>
      <c r="BL51">
        <v>366.96600000000001</v>
      </c>
      <c r="BM51">
        <v>379.08300000000003</v>
      </c>
      <c r="BN51">
        <v>22.725000000000001</v>
      </c>
      <c r="BO51">
        <v>336.96300000000002</v>
      </c>
      <c r="BP51">
        <v>421.20299999999997</v>
      </c>
      <c r="BQ51">
        <v>1061.943</v>
      </c>
      <c r="BR51">
        <v>1053.009</v>
      </c>
      <c r="BS51">
        <v>46.805999999999997</v>
      </c>
      <c r="BT51">
        <v>968.76800000000003</v>
      </c>
      <c r="BU51">
        <v>1137.249</v>
      </c>
      <c r="BV51">
        <v>3305.5819999999999</v>
      </c>
      <c r="BW51">
        <v>3327.5070000000001</v>
      </c>
      <c r="BX51">
        <v>105.79300000000001</v>
      </c>
      <c r="BY51">
        <v>3032.665</v>
      </c>
      <c r="BZ51">
        <v>3495.989</v>
      </c>
      <c r="CA51">
        <v>1.76</v>
      </c>
      <c r="CB51">
        <v>3</v>
      </c>
      <c r="CC51">
        <v>0</v>
      </c>
      <c r="CD51">
        <v>0</v>
      </c>
      <c r="CE51">
        <v>0</v>
      </c>
      <c r="CF51">
        <v>0</v>
      </c>
    </row>
    <row r="52" spans="1:84" x14ac:dyDescent="0.35">
      <c r="A52" t="s">
        <v>102</v>
      </c>
      <c r="B52" t="str">
        <f t="shared" si="2"/>
        <v xml:space="preserve"> el_fi_2000_06_25_140</v>
      </c>
      <c r="C52" s="1">
        <f t="shared" si="3"/>
        <v>45749</v>
      </c>
      <c r="D52" t="s">
        <v>78</v>
      </c>
      <c r="E52">
        <v>153.185</v>
      </c>
      <c r="F52">
        <v>152.21899999999999</v>
      </c>
      <c r="G52">
        <v>12.063000000000001</v>
      </c>
      <c r="H52">
        <v>135.93100000000001</v>
      </c>
      <c r="I52">
        <v>2.823529411764706E-2</v>
      </c>
      <c r="J52">
        <v>225.16399999999999</v>
      </c>
      <c r="K52">
        <v>1.1764705882352941E-2</v>
      </c>
      <c r="L52">
        <v>1.7</v>
      </c>
      <c r="M52">
        <v>-18.244</v>
      </c>
      <c r="N52">
        <v>701.20399999999995</v>
      </c>
      <c r="O52">
        <v>691.33699999999999</v>
      </c>
      <c r="P52">
        <v>40.445</v>
      </c>
      <c r="Q52">
        <v>654.95000000000005</v>
      </c>
      <c r="R52">
        <v>909.65300000000002</v>
      </c>
      <c r="S52">
        <v>1146.163</v>
      </c>
      <c r="T52">
        <v>1127.97</v>
      </c>
      <c r="U52">
        <v>64.430999999999997</v>
      </c>
      <c r="V52">
        <v>1055.1980000000001</v>
      </c>
      <c r="W52">
        <v>1419.059</v>
      </c>
      <c r="X52">
        <v>2622.7840000000001</v>
      </c>
      <c r="Y52">
        <v>2619.8020000000001</v>
      </c>
      <c r="Z52">
        <v>102.11799999999999</v>
      </c>
      <c r="AA52">
        <v>2183.1680000000001</v>
      </c>
      <c r="AB52">
        <v>2801.7330000000002</v>
      </c>
      <c r="AC52">
        <v>1.7</v>
      </c>
      <c r="AD52">
        <v>150.66999999999999</v>
      </c>
      <c r="AE52">
        <v>151.32400000000001</v>
      </c>
      <c r="AF52">
        <v>3.1339999999999999</v>
      </c>
      <c r="AG52">
        <v>144.25200000000001</v>
      </c>
      <c r="AH52">
        <v>2.891566265060241E-2</v>
      </c>
      <c r="AI52">
        <v>167.04499999999999</v>
      </c>
      <c r="AJ52">
        <v>0.99879518072289153</v>
      </c>
      <c r="AK52">
        <v>0.48599999999999999</v>
      </c>
      <c r="AL52">
        <v>-24.908000000000001</v>
      </c>
      <c r="AM52">
        <v>320.601</v>
      </c>
      <c r="AN52">
        <v>324.26499999999999</v>
      </c>
      <c r="AO52">
        <v>12.861000000000001</v>
      </c>
      <c r="AP52">
        <v>288.23500000000001</v>
      </c>
      <c r="AQ52">
        <v>360.29399999999998</v>
      </c>
      <c r="AR52">
        <v>1765.441</v>
      </c>
      <c r="AS52">
        <v>1765.441</v>
      </c>
      <c r="AT52">
        <v>458.58</v>
      </c>
      <c r="AU52">
        <v>1441.1759999999999</v>
      </c>
      <c r="AV52">
        <v>2089.7060000000001</v>
      </c>
      <c r="AW52">
        <v>3513.7840000000001</v>
      </c>
      <c r="AX52">
        <v>3494.8530000000001</v>
      </c>
      <c r="AY52">
        <v>148.30500000000001</v>
      </c>
      <c r="AZ52">
        <v>3206.6179999999999</v>
      </c>
      <c r="BA52">
        <v>4071.3240000000001</v>
      </c>
      <c r="BB52">
        <v>1.66</v>
      </c>
      <c r="BC52">
        <v>153.852</v>
      </c>
      <c r="BD52">
        <v>150.65899999999999</v>
      </c>
      <c r="BE52">
        <v>18.721</v>
      </c>
      <c r="BF52">
        <v>147</v>
      </c>
      <c r="BG52">
        <v>5.7812500000000003E-2</v>
      </c>
      <c r="BH52">
        <v>282.69200000000001</v>
      </c>
      <c r="BI52">
        <v>1.4583333333333334E-2</v>
      </c>
      <c r="BJ52">
        <v>1.464</v>
      </c>
      <c r="BK52">
        <v>-24.414000000000001</v>
      </c>
      <c r="BL52">
        <v>363.70699999999999</v>
      </c>
      <c r="BM52">
        <v>364.76400000000001</v>
      </c>
      <c r="BN52">
        <v>50.81</v>
      </c>
      <c r="BO52">
        <v>328.28800000000001</v>
      </c>
      <c r="BP52">
        <v>656.57600000000002</v>
      </c>
      <c r="BQ52">
        <v>1111.3910000000001</v>
      </c>
      <c r="BR52">
        <v>1094.2929999999999</v>
      </c>
      <c r="BS52">
        <v>54.750999999999998</v>
      </c>
      <c r="BT52">
        <v>1057.816</v>
      </c>
      <c r="BU52">
        <v>1495.5329999999999</v>
      </c>
      <c r="BV52">
        <v>3270.1909999999998</v>
      </c>
      <c r="BW52">
        <v>3246.402</v>
      </c>
      <c r="BX52">
        <v>211.84700000000001</v>
      </c>
      <c r="BY52">
        <v>3027.5430000000001</v>
      </c>
      <c r="BZ52">
        <v>4741.9350000000004</v>
      </c>
      <c r="CA52">
        <v>1.92</v>
      </c>
      <c r="CB52">
        <v>5</v>
      </c>
      <c r="CC52">
        <v>0</v>
      </c>
      <c r="CD52">
        <v>0</v>
      </c>
      <c r="CE52">
        <v>1</v>
      </c>
      <c r="CF52">
        <v>0</v>
      </c>
    </row>
    <row r="53" spans="1:84" x14ac:dyDescent="0.35">
      <c r="A53" t="s">
        <v>210</v>
      </c>
      <c r="B53" t="str">
        <f t="shared" si="2"/>
        <v xml:space="preserve"> el_lu_2005_12_21_023</v>
      </c>
      <c r="C53" s="1">
        <f t="shared" si="3"/>
        <v>45747</v>
      </c>
      <c r="D53" t="s">
        <v>78</v>
      </c>
      <c r="E53">
        <v>171.45400000000001</v>
      </c>
      <c r="F53">
        <v>171.595</v>
      </c>
      <c r="G53">
        <v>1.6759999999999999</v>
      </c>
      <c r="H53">
        <v>163.767</v>
      </c>
      <c r="I53">
        <v>0.98392857142857137</v>
      </c>
      <c r="J53">
        <v>175.298</v>
      </c>
      <c r="K53">
        <v>0</v>
      </c>
      <c r="L53">
        <v>0.40899999999999997</v>
      </c>
      <c r="M53">
        <v>-22.55</v>
      </c>
      <c r="N53">
        <v>677.65</v>
      </c>
      <c r="O53">
        <v>653.33299999999997</v>
      </c>
      <c r="P53">
        <v>57.655000000000001</v>
      </c>
      <c r="Q53">
        <v>490</v>
      </c>
      <c r="R53">
        <v>1061.6669999999999</v>
      </c>
      <c r="S53">
        <v>1221.8240000000001</v>
      </c>
      <c r="T53">
        <v>1225</v>
      </c>
      <c r="U53">
        <v>26.134</v>
      </c>
      <c r="V53">
        <v>1184.1669999999999</v>
      </c>
      <c r="W53">
        <v>1306.6669999999999</v>
      </c>
      <c r="X53">
        <v>2790.7310000000002</v>
      </c>
      <c r="Y53">
        <v>2776.6669999999999</v>
      </c>
      <c r="Z53">
        <v>146.03299999999999</v>
      </c>
      <c r="AA53">
        <v>2490.8330000000001</v>
      </c>
      <c r="AB53">
        <v>3470.8330000000001</v>
      </c>
      <c r="AC53">
        <v>2.2400000000000002</v>
      </c>
      <c r="AD53">
        <v>175.16</v>
      </c>
      <c r="AE53">
        <v>174.95099999999999</v>
      </c>
      <c r="AF53">
        <v>2.448</v>
      </c>
      <c r="AG53">
        <v>168.596</v>
      </c>
      <c r="AH53">
        <v>0.95632911392405051</v>
      </c>
      <c r="AI53">
        <v>182.988</v>
      </c>
      <c r="AJ53">
        <v>0.10569620253164558</v>
      </c>
      <c r="AK53">
        <v>0.51800000000000002</v>
      </c>
      <c r="AL53">
        <v>-27.215</v>
      </c>
      <c r="AM53">
        <v>334.52800000000002</v>
      </c>
      <c r="AN53">
        <v>332.51600000000002</v>
      </c>
      <c r="AO53">
        <v>11.726000000000001</v>
      </c>
      <c r="AP53">
        <v>332.51600000000002</v>
      </c>
      <c r="AQ53">
        <v>415.64600000000002</v>
      </c>
      <c r="AR53">
        <v>1900.28</v>
      </c>
      <c r="AS53">
        <v>1870.405</v>
      </c>
      <c r="AT53">
        <v>142.542</v>
      </c>
      <c r="AU53">
        <v>1496.3240000000001</v>
      </c>
      <c r="AV53">
        <v>2244.4859999999999</v>
      </c>
      <c r="AW53">
        <v>3786.2719999999999</v>
      </c>
      <c r="AX53">
        <v>3865.5039999999999</v>
      </c>
      <c r="AY53">
        <v>320.48200000000003</v>
      </c>
      <c r="AZ53">
        <v>2493.8739999999998</v>
      </c>
      <c r="BA53">
        <v>4198.0209999999997</v>
      </c>
      <c r="BB53">
        <v>1.58</v>
      </c>
      <c r="BC53">
        <v>175.03700000000001</v>
      </c>
      <c r="BD53">
        <v>175.298</v>
      </c>
      <c r="BE53">
        <v>1.6819999999999999</v>
      </c>
      <c r="BF53">
        <v>165.96799999999999</v>
      </c>
      <c r="BG53">
        <v>0</v>
      </c>
      <c r="BH53">
        <v>179.268</v>
      </c>
      <c r="BI53">
        <v>3.6138613861386136E-2</v>
      </c>
      <c r="BJ53">
        <v>0.45600000000000002</v>
      </c>
      <c r="BK53">
        <v>-27.074999999999999</v>
      </c>
      <c r="BL53">
        <v>379.56700000000001</v>
      </c>
      <c r="BM53">
        <v>375.49700000000001</v>
      </c>
      <c r="BN53">
        <v>12.456</v>
      </c>
      <c r="BO53">
        <v>375.49700000000001</v>
      </c>
      <c r="BP53">
        <v>417.21899999999999</v>
      </c>
      <c r="BQ53">
        <v>1073.066</v>
      </c>
      <c r="BR53">
        <v>1084.768</v>
      </c>
      <c r="BS53">
        <v>45.551000000000002</v>
      </c>
      <c r="BT53">
        <v>1001.325</v>
      </c>
      <c r="BU53">
        <v>1335.0989999999999</v>
      </c>
      <c r="BV53">
        <v>3904.7629999999999</v>
      </c>
      <c r="BW53">
        <v>3880.1320000000001</v>
      </c>
      <c r="BX53">
        <v>137.76599999999999</v>
      </c>
      <c r="BY53">
        <v>3504.636</v>
      </c>
      <c r="BZ53">
        <v>4130.4639999999999</v>
      </c>
      <c r="CA53">
        <v>2.02</v>
      </c>
      <c r="CB53">
        <v>7</v>
      </c>
      <c r="CC53">
        <v>3</v>
      </c>
      <c r="CD53">
        <v>2</v>
      </c>
      <c r="CE53">
        <v>3</v>
      </c>
      <c r="CF53">
        <v>0</v>
      </c>
    </row>
    <row r="54" spans="1:84" x14ac:dyDescent="0.35">
      <c r="A54" t="s">
        <v>160</v>
      </c>
      <c r="B54" t="str">
        <f t="shared" si="2"/>
        <v xml:space="preserve"> el_pa_2005_03_01_796</v>
      </c>
      <c r="C54" s="1">
        <f t="shared" si="3"/>
        <v>45752</v>
      </c>
      <c r="D54" t="s">
        <v>78</v>
      </c>
      <c r="E54">
        <v>188.072</v>
      </c>
      <c r="F54">
        <v>185.74</v>
      </c>
      <c r="G54">
        <v>10.693</v>
      </c>
      <c r="H54">
        <v>182.66300000000001</v>
      </c>
      <c r="I54">
        <v>0.91415929203539825</v>
      </c>
      <c r="J54">
        <v>256.608</v>
      </c>
      <c r="K54">
        <v>9.7345132743362831E-3</v>
      </c>
      <c r="L54">
        <v>0.7</v>
      </c>
      <c r="M54">
        <v>-19.786000000000001</v>
      </c>
      <c r="N54">
        <v>848.90599999999995</v>
      </c>
      <c r="O54">
        <v>855</v>
      </c>
      <c r="P54">
        <v>94.307000000000002</v>
      </c>
      <c r="Q54">
        <v>450</v>
      </c>
      <c r="R54">
        <v>990</v>
      </c>
      <c r="S54">
        <v>1122.7270000000001</v>
      </c>
      <c r="T54">
        <v>1080</v>
      </c>
      <c r="U54">
        <v>128.792</v>
      </c>
      <c r="V54">
        <v>990</v>
      </c>
      <c r="W54">
        <v>1620</v>
      </c>
      <c r="X54">
        <v>2605.0500000000002</v>
      </c>
      <c r="Y54">
        <v>2565</v>
      </c>
      <c r="Z54">
        <v>164.05500000000001</v>
      </c>
      <c r="AA54">
        <v>2295</v>
      </c>
      <c r="AB54">
        <v>3150</v>
      </c>
      <c r="AC54">
        <v>2.2599999999999998</v>
      </c>
      <c r="AD54">
        <v>184.9</v>
      </c>
      <c r="AE54">
        <v>185.072</v>
      </c>
      <c r="AF54">
        <v>4.0060000000000002</v>
      </c>
      <c r="AG54">
        <v>170.458</v>
      </c>
      <c r="AH54">
        <v>9.9137931034482766E-3</v>
      </c>
      <c r="AI54">
        <v>215.12200000000001</v>
      </c>
      <c r="AJ54">
        <v>0</v>
      </c>
      <c r="AK54">
        <v>0.81699999999999995</v>
      </c>
      <c r="AL54">
        <v>-26.18</v>
      </c>
      <c r="AM54">
        <v>316.40699999999998</v>
      </c>
      <c r="AN54">
        <v>309.94</v>
      </c>
      <c r="AO54">
        <v>17.084</v>
      </c>
      <c r="AP54">
        <v>309.94</v>
      </c>
      <c r="AQ54">
        <v>398.49400000000003</v>
      </c>
      <c r="AR54">
        <v>2081.0239999999999</v>
      </c>
      <c r="AS54">
        <v>2081.0239999999999</v>
      </c>
      <c r="AT54">
        <v>0</v>
      </c>
      <c r="AU54">
        <v>2081.0239999999999</v>
      </c>
      <c r="AV54">
        <v>2081.0239999999999</v>
      </c>
      <c r="AW54">
        <v>3615.8180000000002</v>
      </c>
      <c r="AX54">
        <v>3675</v>
      </c>
      <c r="AY54">
        <v>111.00700000000001</v>
      </c>
      <c r="AZ54">
        <v>3276.5059999999999</v>
      </c>
      <c r="BA54">
        <v>3852.1080000000002</v>
      </c>
      <c r="BB54">
        <v>2.3199999999999998</v>
      </c>
      <c r="BC54">
        <v>189.42</v>
      </c>
      <c r="BD54">
        <v>191.32400000000001</v>
      </c>
      <c r="BE54">
        <v>15.045</v>
      </c>
      <c r="BF54">
        <v>101.479</v>
      </c>
      <c r="BG54">
        <v>2.0089285714285712E-2</v>
      </c>
      <c r="BH54">
        <v>210.57300000000001</v>
      </c>
      <c r="BI54">
        <v>1.0267857142857141E-2</v>
      </c>
      <c r="BJ54">
        <v>4.0789999999999997</v>
      </c>
      <c r="BK54">
        <v>-16.006</v>
      </c>
      <c r="BL54">
        <v>449.65</v>
      </c>
      <c r="BM54">
        <v>444.55599999999998</v>
      </c>
      <c r="BN54">
        <v>46.456000000000003</v>
      </c>
      <c r="BO54">
        <v>355.64499999999998</v>
      </c>
      <c r="BP54">
        <v>622.37900000000002</v>
      </c>
      <c r="BQ54">
        <v>1015.071</v>
      </c>
      <c r="BR54">
        <v>978.024</v>
      </c>
      <c r="BS54">
        <v>71.221999999999994</v>
      </c>
      <c r="BT54">
        <v>978.024</v>
      </c>
      <c r="BU54">
        <v>1155.847</v>
      </c>
      <c r="BV54">
        <v>3588.6590000000001</v>
      </c>
      <c r="BW54">
        <v>3556.4520000000002</v>
      </c>
      <c r="BX54">
        <v>140.839</v>
      </c>
      <c r="BY54">
        <v>2978.5279999999998</v>
      </c>
      <c r="BZ54">
        <v>3867.6410000000001</v>
      </c>
      <c r="CA54">
        <v>2.2400000000000002</v>
      </c>
      <c r="CB54">
        <v>8</v>
      </c>
      <c r="CC54">
        <v>3</v>
      </c>
      <c r="CD54">
        <v>0</v>
      </c>
      <c r="CE54">
        <v>4</v>
      </c>
      <c r="CF54">
        <v>2</v>
      </c>
    </row>
    <row r="55" spans="1:84" x14ac:dyDescent="0.35">
      <c r="A55" t="s">
        <v>161</v>
      </c>
      <c r="B55" t="str">
        <f t="shared" si="2"/>
        <v xml:space="preserve"> el_pa_2005_08_14_772</v>
      </c>
      <c r="C55" s="1">
        <f t="shared" si="3"/>
        <v>45752</v>
      </c>
      <c r="D55" t="s">
        <v>78</v>
      </c>
      <c r="E55">
        <v>203.21899999999999</v>
      </c>
      <c r="F55">
        <v>206.21199999999999</v>
      </c>
      <c r="G55">
        <v>31.539000000000001</v>
      </c>
      <c r="H55">
        <v>100.325</v>
      </c>
      <c r="I55">
        <v>0.82387640449438193</v>
      </c>
      <c r="J55">
        <v>321.89800000000002</v>
      </c>
      <c r="K55">
        <v>0.98511235955056187</v>
      </c>
      <c r="L55">
        <v>2.9129999999999998</v>
      </c>
      <c r="M55">
        <v>-22.834</v>
      </c>
      <c r="N55">
        <v>750.56200000000001</v>
      </c>
      <c r="O55">
        <v>784.87199999999996</v>
      </c>
      <c r="P55">
        <v>77.775000000000006</v>
      </c>
      <c r="Q55">
        <v>294.327</v>
      </c>
      <c r="R55">
        <v>932.03599999999994</v>
      </c>
      <c r="S55">
        <v>1028.4290000000001</v>
      </c>
      <c r="T55">
        <v>1030.145</v>
      </c>
      <c r="U55">
        <v>55.661000000000001</v>
      </c>
      <c r="V55">
        <v>932.03599999999994</v>
      </c>
      <c r="W55">
        <v>1520.69</v>
      </c>
      <c r="X55">
        <v>3672.85</v>
      </c>
      <c r="Y55">
        <v>3728.1419999999998</v>
      </c>
      <c r="Z55">
        <v>159.88499999999999</v>
      </c>
      <c r="AA55">
        <v>2992.3249999999998</v>
      </c>
      <c r="AB55">
        <v>3924.36</v>
      </c>
      <c r="AC55">
        <v>3.56</v>
      </c>
      <c r="AD55">
        <v>220.625</v>
      </c>
      <c r="AE55">
        <v>218.93600000000001</v>
      </c>
      <c r="AF55">
        <v>9.3130000000000006</v>
      </c>
      <c r="AG55">
        <v>208.3</v>
      </c>
      <c r="AH55">
        <v>0.26928571428571429</v>
      </c>
      <c r="AI55">
        <v>274.39999999999998</v>
      </c>
      <c r="AJ55">
        <v>0.95607142857142868</v>
      </c>
      <c r="AK55">
        <v>0.56200000000000006</v>
      </c>
      <c r="AL55">
        <v>-30.811</v>
      </c>
      <c r="AM55">
        <v>373.35500000000002</v>
      </c>
      <c r="AN55">
        <v>373.72899999999998</v>
      </c>
      <c r="AO55">
        <v>23.277999999999999</v>
      </c>
      <c r="AP55">
        <v>266.94900000000001</v>
      </c>
      <c r="AQ55">
        <v>427.11900000000003</v>
      </c>
      <c r="AR55">
        <v>2376.8510000000001</v>
      </c>
      <c r="AS55">
        <v>2402.5419999999999</v>
      </c>
      <c r="AT55">
        <v>137.476</v>
      </c>
      <c r="AU55">
        <v>1922.0340000000001</v>
      </c>
      <c r="AV55">
        <v>2616.1019999999999</v>
      </c>
      <c r="AW55">
        <v>3516.5140000000001</v>
      </c>
      <c r="AX55">
        <v>3577.1190000000001</v>
      </c>
      <c r="AY55">
        <v>252.93600000000001</v>
      </c>
      <c r="AZ55">
        <v>2722.8809999999999</v>
      </c>
      <c r="BA55">
        <v>3897.4580000000001</v>
      </c>
      <c r="BB55">
        <v>2.8</v>
      </c>
      <c r="BC55">
        <v>210.10599999999999</v>
      </c>
      <c r="BD55">
        <v>208.72200000000001</v>
      </c>
      <c r="BE55">
        <v>25.003</v>
      </c>
      <c r="BF55">
        <v>96.923000000000002</v>
      </c>
      <c r="BG55">
        <v>0.99042553191489369</v>
      </c>
      <c r="BH55">
        <v>334.09100000000001</v>
      </c>
      <c r="BI55">
        <v>0</v>
      </c>
      <c r="BJ55">
        <v>4.806</v>
      </c>
      <c r="BK55">
        <v>-29.855</v>
      </c>
      <c r="BL55">
        <v>404.13099999999997</v>
      </c>
      <c r="BM55">
        <v>400.90899999999999</v>
      </c>
      <c r="BN55">
        <v>34.116</v>
      </c>
      <c r="BO55">
        <v>300.68200000000002</v>
      </c>
      <c r="BP55">
        <v>701.59100000000001</v>
      </c>
      <c r="BQ55">
        <v>971.43399999999997</v>
      </c>
      <c r="BR55">
        <v>952.15899999999999</v>
      </c>
      <c r="BS55">
        <v>69.495000000000005</v>
      </c>
      <c r="BT55">
        <v>952.15899999999999</v>
      </c>
      <c r="BU55">
        <v>1202.7270000000001</v>
      </c>
      <c r="BV55">
        <v>3495.0680000000002</v>
      </c>
      <c r="BW55">
        <v>3507.9549999999999</v>
      </c>
      <c r="BX55">
        <v>387.12400000000002</v>
      </c>
      <c r="BY55">
        <v>2756.25</v>
      </c>
      <c r="BZ55">
        <v>4460.1139999999996</v>
      </c>
      <c r="CA55">
        <v>2.82</v>
      </c>
      <c r="CB55">
        <v>5</v>
      </c>
      <c r="CC55">
        <v>3</v>
      </c>
      <c r="CD55">
        <v>0</v>
      </c>
      <c r="CE55">
        <v>4</v>
      </c>
      <c r="CF55">
        <v>0</v>
      </c>
    </row>
    <row r="56" spans="1:84" x14ac:dyDescent="0.35">
      <c r="A56" t="s">
        <v>103</v>
      </c>
      <c r="B56" t="str">
        <f t="shared" si="2"/>
        <v xml:space="preserve"> el_ro_1992_05_28_005</v>
      </c>
      <c r="C56" s="1">
        <f t="shared" si="3"/>
        <v>45749</v>
      </c>
      <c r="D56" t="s">
        <v>78</v>
      </c>
      <c r="E56">
        <v>146.173</v>
      </c>
      <c r="F56">
        <v>146.82499999999999</v>
      </c>
      <c r="G56">
        <v>4.0830000000000002</v>
      </c>
      <c r="H56">
        <v>118.14</v>
      </c>
      <c r="I56">
        <v>1.3063063063063063E-2</v>
      </c>
      <c r="J56">
        <v>150.292</v>
      </c>
      <c r="K56">
        <v>0.91801801801801786</v>
      </c>
      <c r="L56">
        <v>1.222</v>
      </c>
      <c r="M56">
        <v>-19.488</v>
      </c>
      <c r="N56">
        <v>811.54399999999998</v>
      </c>
      <c r="O56">
        <v>800.55200000000002</v>
      </c>
      <c r="P56">
        <v>48.633000000000003</v>
      </c>
      <c r="Q56">
        <v>696.13300000000004</v>
      </c>
      <c r="R56">
        <v>939.779</v>
      </c>
      <c r="S56">
        <v>1079.4760000000001</v>
      </c>
      <c r="T56">
        <v>1079.0060000000001</v>
      </c>
      <c r="U56">
        <v>39.704000000000001</v>
      </c>
      <c r="V56">
        <v>1009.3920000000001</v>
      </c>
      <c r="W56">
        <v>1148.6189999999999</v>
      </c>
      <c r="X56">
        <v>3148.1680000000001</v>
      </c>
      <c r="Y56">
        <v>3097.79</v>
      </c>
      <c r="Z56">
        <v>401.64699999999999</v>
      </c>
      <c r="AA56">
        <v>2262.431</v>
      </c>
      <c r="AB56">
        <v>4072.3760000000002</v>
      </c>
      <c r="AC56">
        <v>2.2200000000000002</v>
      </c>
      <c r="AD56">
        <v>164.98400000000001</v>
      </c>
      <c r="AE56">
        <v>150.36500000000001</v>
      </c>
      <c r="AF56">
        <v>43.667999999999999</v>
      </c>
      <c r="AG56">
        <v>142.983</v>
      </c>
      <c r="AH56">
        <v>0.95958333333333334</v>
      </c>
      <c r="AI56">
        <v>311.81799999999998</v>
      </c>
      <c r="AJ56">
        <v>0.17666666666666667</v>
      </c>
      <c r="AK56">
        <v>2.2879999999999998</v>
      </c>
      <c r="AL56">
        <v>-23.459</v>
      </c>
      <c r="AM56">
        <v>318.54500000000002</v>
      </c>
      <c r="AN56">
        <v>297.113</v>
      </c>
      <c r="AO56">
        <v>23.725999999999999</v>
      </c>
      <c r="AP56">
        <v>297.113</v>
      </c>
      <c r="AQ56">
        <v>382.00200000000001</v>
      </c>
      <c r="AR56">
        <v>1627.0450000000001</v>
      </c>
      <c r="AS56">
        <v>1485.5630000000001</v>
      </c>
      <c r="AT56">
        <v>321.38600000000002</v>
      </c>
      <c r="AU56">
        <v>1400.674</v>
      </c>
      <c r="AV56">
        <v>1994.8989999999999</v>
      </c>
      <c r="AW56">
        <v>3865.4059999999999</v>
      </c>
      <c r="AX56">
        <v>3862.4639999999999</v>
      </c>
      <c r="AY56">
        <v>187.74299999999999</v>
      </c>
      <c r="AZ56">
        <v>3056.0149999999999</v>
      </c>
      <c r="BA56">
        <v>4159.5770000000002</v>
      </c>
      <c r="BB56">
        <v>2.4</v>
      </c>
      <c r="BC56">
        <v>155.62200000000001</v>
      </c>
      <c r="BD56">
        <v>154.42699999999999</v>
      </c>
      <c r="BE56">
        <v>3.5350000000000001</v>
      </c>
      <c r="BF56">
        <v>151.69499999999999</v>
      </c>
      <c r="BG56">
        <v>0.99839999999999995</v>
      </c>
      <c r="BH56">
        <v>169.709</v>
      </c>
      <c r="BI56">
        <v>1.8800000000000001E-2</v>
      </c>
      <c r="BJ56">
        <v>0.497</v>
      </c>
      <c r="BK56">
        <v>-27.765999999999998</v>
      </c>
      <c r="BL56">
        <v>344.87200000000001</v>
      </c>
      <c r="BM56">
        <v>334.37200000000001</v>
      </c>
      <c r="BN56">
        <v>26.600999999999999</v>
      </c>
      <c r="BO56">
        <v>297.22000000000003</v>
      </c>
      <c r="BP56">
        <v>445.83</v>
      </c>
      <c r="BQ56">
        <v>1007.303</v>
      </c>
      <c r="BR56">
        <v>1003.117</v>
      </c>
      <c r="BS56">
        <v>43.304000000000002</v>
      </c>
      <c r="BT56">
        <v>965.96500000000003</v>
      </c>
      <c r="BU56">
        <v>1337.489</v>
      </c>
      <c r="BV56">
        <v>3328.3780000000002</v>
      </c>
      <c r="BW56">
        <v>3269.4189999999999</v>
      </c>
      <c r="BX56">
        <v>246.636</v>
      </c>
      <c r="BY56">
        <v>2897.8939999999998</v>
      </c>
      <c r="BZ56">
        <v>3938.163</v>
      </c>
      <c r="CA56">
        <v>2.5</v>
      </c>
      <c r="CB56">
        <v>5</v>
      </c>
      <c r="CC56">
        <v>1</v>
      </c>
      <c r="CD56">
        <v>0</v>
      </c>
      <c r="CE56">
        <v>1</v>
      </c>
      <c r="CF56">
        <v>3</v>
      </c>
    </row>
    <row r="57" spans="1:84" x14ac:dyDescent="0.35">
      <c r="A57" t="s">
        <v>184</v>
      </c>
      <c r="B57" t="str">
        <f t="shared" si="2"/>
        <v xml:space="preserve"> el_sa_2005_06_30_005</v>
      </c>
      <c r="C57" s="1">
        <f t="shared" si="3"/>
        <v>45753</v>
      </c>
      <c r="D57" t="s">
        <v>78</v>
      </c>
      <c r="E57">
        <v>185.321</v>
      </c>
      <c r="F57">
        <v>184.51900000000001</v>
      </c>
      <c r="G57">
        <v>6.5220000000000002</v>
      </c>
      <c r="H57">
        <v>178.233</v>
      </c>
      <c r="I57">
        <v>9.7457627118644072E-2</v>
      </c>
      <c r="J57">
        <v>227.655</v>
      </c>
      <c r="K57">
        <v>0</v>
      </c>
      <c r="L57">
        <v>0.67800000000000005</v>
      </c>
      <c r="M57">
        <v>-28.106000000000002</v>
      </c>
      <c r="N57">
        <v>584.00199999999995</v>
      </c>
      <c r="O57">
        <v>576.18100000000004</v>
      </c>
      <c r="P57">
        <v>64.353999999999999</v>
      </c>
      <c r="Q57">
        <v>487.53800000000001</v>
      </c>
      <c r="R57">
        <v>975.07500000000005</v>
      </c>
      <c r="S57">
        <v>1210.173</v>
      </c>
      <c r="T57">
        <v>1196.683</v>
      </c>
      <c r="U57">
        <v>42.686</v>
      </c>
      <c r="V57">
        <v>1108.04</v>
      </c>
      <c r="W57">
        <v>1285.327</v>
      </c>
      <c r="X57">
        <v>2759.2370000000001</v>
      </c>
      <c r="Y57">
        <v>2747.94</v>
      </c>
      <c r="Z57">
        <v>205.767</v>
      </c>
      <c r="AA57">
        <v>2393.3670000000002</v>
      </c>
      <c r="AB57">
        <v>3235.4769999999999</v>
      </c>
      <c r="AC57">
        <v>1.18</v>
      </c>
      <c r="AD57">
        <v>201.36</v>
      </c>
      <c r="AE57">
        <v>205.25299999999999</v>
      </c>
      <c r="AF57">
        <v>20.989000000000001</v>
      </c>
      <c r="AG57">
        <v>102.422</v>
      </c>
      <c r="AH57">
        <v>0.95199999999999996</v>
      </c>
      <c r="AI57">
        <v>220.185</v>
      </c>
      <c r="AJ57">
        <v>0.995</v>
      </c>
      <c r="AK57">
        <v>4.758</v>
      </c>
      <c r="AL57">
        <v>-29.041</v>
      </c>
      <c r="AM57">
        <v>363.47899999999998</v>
      </c>
      <c r="AN57">
        <v>385.99599999999998</v>
      </c>
      <c r="AO57">
        <v>26.427</v>
      </c>
      <c r="AP57">
        <v>289.49700000000001</v>
      </c>
      <c r="AQ57">
        <v>385.99599999999998</v>
      </c>
      <c r="AR57">
        <v>1897.8119999999999</v>
      </c>
      <c r="AS57">
        <v>1978.2280000000001</v>
      </c>
      <c r="AT57">
        <v>274.358</v>
      </c>
      <c r="AU57">
        <v>1592.232</v>
      </c>
      <c r="AV57">
        <v>2122.9760000000001</v>
      </c>
      <c r="AW57">
        <v>3210.1280000000002</v>
      </c>
      <c r="AX57">
        <v>3087.9650000000001</v>
      </c>
      <c r="AY57">
        <v>270.30399999999997</v>
      </c>
      <c r="AZ57">
        <v>2943.2170000000001</v>
      </c>
      <c r="BA57">
        <v>4004.7049999999999</v>
      </c>
      <c r="BB57">
        <v>1</v>
      </c>
      <c r="BC57">
        <v>211.357</v>
      </c>
      <c r="BD57">
        <v>211.72800000000001</v>
      </c>
      <c r="BE57">
        <v>3.819</v>
      </c>
      <c r="BF57">
        <v>203.62799999999999</v>
      </c>
      <c r="BG57">
        <v>8.1632653061224497E-2</v>
      </c>
      <c r="BH57">
        <v>225</v>
      </c>
      <c r="BI57">
        <v>0.97448979591836737</v>
      </c>
      <c r="BJ57">
        <v>0.45600000000000002</v>
      </c>
      <c r="BK57">
        <v>-29.28</v>
      </c>
      <c r="BL57">
        <v>408.14</v>
      </c>
      <c r="BM57">
        <v>410.233</v>
      </c>
      <c r="BN57">
        <v>23.31</v>
      </c>
      <c r="BO57">
        <v>307.67399999999998</v>
      </c>
      <c r="BP57">
        <v>512.79100000000005</v>
      </c>
      <c r="BQ57">
        <v>1333.2560000000001</v>
      </c>
      <c r="BR57">
        <v>1333.2560000000001</v>
      </c>
      <c r="BS57">
        <v>172.631</v>
      </c>
      <c r="BT57">
        <v>1128.1400000000001</v>
      </c>
      <c r="BU57">
        <v>1538.3720000000001</v>
      </c>
      <c r="BV57">
        <v>3197.0929999999998</v>
      </c>
      <c r="BW57">
        <v>3230.5810000000001</v>
      </c>
      <c r="BX57">
        <v>284.077</v>
      </c>
      <c r="BY57">
        <v>2205</v>
      </c>
      <c r="BZ57">
        <v>3692.0929999999998</v>
      </c>
      <c r="CA57">
        <v>0.98</v>
      </c>
      <c r="CB57">
        <v>6</v>
      </c>
      <c r="CC57">
        <v>2</v>
      </c>
      <c r="CD57">
        <v>1</v>
      </c>
      <c r="CE57">
        <v>2</v>
      </c>
      <c r="CF57">
        <v>5</v>
      </c>
    </row>
    <row r="58" spans="1:84" x14ac:dyDescent="0.35">
      <c r="A58" t="s">
        <v>185</v>
      </c>
      <c r="B58" t="str">
        <f t="shared" si="2"/>
        <v xml:space="preserve"> el_sp_2000_08_09_356</v>
      </c>
      <c r="C58" s="1">
        <f t="shared" si="3"/>
        <v>45753</v>
      </c>
      <c r="D58" t="s">
        <v>78</v>
      </c>
      <c r="E58">
        <v>141.43899999999999</v>
      </c>
      <c r="F58">
        <v>140.191</v>
      </c>
      <c r="G58">
        <v>4.6539999999999999</v>
      </c>
      <c r="H58">
        <v>126.62</v>
      </c>
      <c r="I58">
        <v>4.8923679060665359E-3</v>
      </c>
      <c r="J58">
        <v>167.68100000000001</v>
      </c>
      <c r="K58">
        <v>0.9393346379647749</v>
      </c>
      <c r="L58">
        <v>1.218</v>
      </c>
      <c r="M58">
        <v>-20.518000000000001</v>
      </c>
      <c r="N58">
        <v>391.13200000000001</v>
      </c>
      <c r="O58">
        <v>368.61700000000002</v>
      </c>
      <c r="P58">
        <v>52.034999999999997</v>
      </c>
      <c r="Q58">
        <v>335.10599999999999</v>
      </c>
      <c r="R58">
        <v>636.702</v>
      </c>
      <c r="S58">
        <v>1264.6969999999999</v>
      </c>
      <c r="T58">
        <v>1273.404</v>
      </c>
      <c r="U58">
        <v>60.48</v>
      </c>
      <c r="V58">
        <v>1139.3620000000001</v>
      </c>
      <c r="W58">
        <v>1474.4680000000001</v>
      </c>
      <c r="X58">
        <v>3472.8020000000001</v>
      </c>
      <c r="Y58">
        <v>3451.596</v>
      </c>
      <c r="Z58">
        <v>139.71899999999999</v>
      </c>
      <c r="AA58">
        <v>3183.511</v>
      </c>
      <c r="AB58">
        <v>4088.2979999999998</v>
      </c>
      <c r="AC58">
        <v>4.0880000000000001</v>
      </c>
      <c r="AD58">
        <v>148.83099999999999</v>
      </c>
      <c r="AE58">
        <v>141.15199999999999</v>
      </c>
      <c r="AF58">
        <v>33.192</v>
      </c>
      <c r="AG58">
        <v>130.63900000000001</v>
      </c>
      <c r="AH58">
        <v>0.21307339449541285</v>
      </c>
      <c r="AI58">
        <v>331.57900000000001</v>
      </c>
      <c r="AJ58">
        <v>0.17408256880733944</v>
      </c>
      <c r="AK58">
        <v>3.0339999999999998</v>
      </c>
      <c r="AL58">
        <v>-18.815000000000001</v>
      </c>
      <c r="AM58">
        <v>303.18200000000002</v>
      </c>
      <c r="AN58">
        <v>318.79500000000002</v>
      </c>
      <c r="AO58">
        <v>21.077999999999999</v>
      </c>
      <c r="AP58">
        <v>283.37299999999999</v>
      </c>
      <c r="AQ58">
        <v>389.63900000000001</v>
      </c>
      <c r="AR58">
        <v>1924.578</v>
      </c>
      <c r="AS58">
        <v>1912.771</v>
      </c>
      <c r="AT58">
        <v>169.876</v>
      </c>
      <c r="AU58">
        <v>1735.663</v>
      </c>
      <c r="AV58">
        <v>2266.9879999999998</v>
      </c>
      <c r="AW58">
        <v>3310.1909999999998</v>
      </c>
      <c r="AX58">
        <v>3294.2170000000001</v>
      </c>
      <c r="AY58">
        <v>90.757999999999996</v>
      </c>
      <c r="AZ58">
        <v>3152.53</v>
      </c>
      <c r="BA58">
        <v>3719.277</v>
      </c>
      <c r="BB58">
        <v>4.3600000000000003</v>
      </c>
      <c r="BC58">
        <v>145.20500000000001</v>
      </c>
      <c r="BD58">
        <v>144.32</v>
      </c>
      <c r="BE58">
        <v>15.42</v>
      </c>
      <c r="BF58">
        <v>127.667</v>
      </c>
      <c r="BG58">
        <v>1.3942307692307693E-2</v>
      </c>
      <c r="BH58">
        <v>324.26499999999999</v>
      </c>
      <c r="BI58">
        <v>0</v>
      </c>
      <c r="BJ58">
        <v>1.2789999999999999</v>
      </c>
      <c r="BK58">
        <v>-26.256</v>
      </c>
      <c r="BL58">
        <v>322.18900000000002</v>
      </c>
      <c r="BM58">
        <v>311.53800000000001</v>
      </c>
      <c r="BN58">
        <v>27.010999999999999</v>
      </c>
      <c r="BO58">
        <v>311.53800000000001</v>
      </c>
      <c r="BP58">
        <v>415.38499999999999</v>
      </c>
      <c r="BQ58">
        <v>1089.9480000000001</v>
      </c>
      <c r="BR58">
        <v>1073.077</v>
      </c>
      <c r="BS58">
        <v>81.724999999999994</v>
      </c>
      <c r="BT58">
        <v>934.61500000000001</v>
      </c>
      <c r="BU58">
        <v>1488.462</v>
      </c>
      <c r="BV58">
        <v>3474.3679999999999</v>
      </c>
      <c r="BW58">
        <v>3461.538</v>
      </c>
      <c r="BX58">
        <v>176.68</v>
      </c>
      <c r="BY58">
        <v>3115.3850000000002</v>
      </c>
      <c r="BZ58">
        <v>4257.692</v>
      </c>
      <c r="CA58">
        <v>4.16</v>
      </c>
      <c r="CB58">
        <v>3</v>
      </c>
      <c r="CC58">
        <v>3</v>
      </c>
      <c r="CD58">
        <v>1</v>
      </c>
      <c r="CE58">
        <v>3</v>
      </c>
      <c r="CF58">
        <v>4</v>
      </c>
    </row>
    <row r="59" spans="1:84" x14ac:dyDescent="0.35">
      <c r="A59" t="s">
        <v>83</v>
      </c>
      <c r="B59" t="str">
        <f t="shared" si="2"/>
        <v xml:space="preserve"> el_sp_2004_08_03_826</v>
      </c>
      <c r="C59" s="1">
        <f t="shared" si="3"/>
        <v>45748</v>
      </c>
      <c r="D59" t="s">
        <v>78</v>
      </c>
      <c r="E59">
        <v>272.18099999999998</v>
      </c>
      <c r="F59">
        <v>272.46199999999999</v>
      </c>
      <c r="G59">
        <v>2.1960000000000002</v>
      </c>
      <c r="H59">
        <v>262.72300000000001</v>
      </c>
      <c r="I59">
        <v>1.3761467889908256E-2</v>
      </c>
      <c r="J59">
        <v>280.12700000000001</v>
      </c>
      <c r="K59">
        <v>0</v>
      </c>
      <c r="L59">
        <v>0.254</v>
      </c>
      <c r="M59">
        <v>-26.978999999999999</v>
      </c>
      <c r="N59">
        <v>777.72400000000005</v>
      </c>
      <c r="O59">
        <v>798.19</v>
      </c>
      <c r="P59">
        <v>54.250999999999998</v>
      </c>
      <c r="Q59">
        <v>399.09500000000003</v>
      </c>
      <c r="R59">
        <v>864.70600000000002</v>
      </c>
      <c r="S59">
        <v>1170.307</v>
      </c>
      <c r="T59">
        <v>1197.2850000000001</v>
      </c>
      <c r="U59">
        <v>40.435000000000002</v>
      </c>
      <c r="V59">
        <v>1064.2529999999999</v>
      </c>
      <c r="W59">
        <v>1396.8330000000001</v>
      </c>
      <c r="X59">
        <v>2686.6819999999998</v>
      </c>
      <c r="Y59">
        <v>2660.6329999999998</v>
      </c>
      <c r="Z59">
        <v>198.92699999999999</v>
      </c>
      <c r="AA59">
        <v>2328.0540000000001</v>
      </c>
      <c r="AB59">
        <v>3126.2440000000001</v>
      </c>
      <c r="AC59">
        <v>2.1800000000000002</v>
      </c>
      <c r="AD59">
        <v>273.57299999999998</v>
      </c>
      <c r="AE59">
        <v>273.91300000000001</v>
      </c>
      <c r="AF59">
        <v>1.7849999999999999</v>
      </c>
      <c r="AG59">
        <v>267.73599999999999</v>
      </c>
      <c r="AH59">
        <v>0.98539823008849559</v>
      </c>
      <c r="AI59">
        <v>278.35899999999998</v>
      </c>
      <c r="AJ59">
        <v>0</v>
      </c>
      <c r="AK59">
        <v>0.25600000000000001</v>
      </c>
      <c r="AL59">
        <v>-31.187000000000001</v>
      </c>
      <c r="AM59">
        <v>377.553</v>
      </c>
      <c r="AN59">
        <v>401.517</v>
      </c>
      <c r="AO59">
        <v>33.125999999999998</v>
      </c>
      <c r="AP59">
        <v>267.678</v>
      </c>
      <c r="AQ59">
        <v>401.517</v>
      </c>
      <c r="AR59">
        <v>1980.5129999999999</v>
      </c>
      <c r="AS59">
        <v>1940.6679999999999</v>
      </c>
      <c r="AT59">
        <v>135.06299999999999</v>
      </c>
      <c r="AU59">
        <v>1739.9090000000001</v>
      </c>
      <c r="AV59">
        <v>2476.0239999999999</v>
      </c>
      <c r="AW59">
        <v>3403.018</v>
      </c>
      <c r="AX59">
        <v>3412.8980000000001</v>
      </c>
      <c r="AY59">
        <v>136.83000000000001</v>
      </c>
      <c r="AZ59">
        <v>3145.22</v>
      </c>
      <c r="BA59">
        <v>4550.5309999999999</v>
      </c>
      <c r="BB59">
        <v>2.2599999999999998</v>
      </c>
      <c r="BC59">
        <v>273.36700000000002</v>
      </c>
      <c r="BD59">
        <v>273.428</v>
      </c>
      <c r="BE59">
        <v>1.3939999999999999</v>
      </c>
      <c r="BF59">
        <v>267.27300000000002</v>
      </c>
      <c r="BG59">
        <v>0</v>
      </c>
      <c r="BH59">
        <v>278.61</v>
      </c>
      <c r="BI59">
        <v>6.7567567567567563E-3</v>
      </c>
      <c r="BJ59">
        <v>0.23499999999999999</v>
      </c>
      <c r="BK59">
        <v>-33.634999999999998</v>
      </c>
      <c r="BL59">
        <v>402.12799999999999</v>
      </c>
      <c r="BM59">
        <v>402.12799999999999</v>
      </c>
      <c r="BN59">
        <v>15.688000000000001</v>
      </c>
      <c r="BO59">
        <v>335.10599999999999</v>
      </c>
      <c r="BP59">
        <v>536.16999999999996</v>
      </c>
      <c r="BQ59">
        <v>1036.4359999999999</v>
      </c>
      <c r="BR59">
        <v>1005.319</v>
      </c>
      <c r="BS59">
        <v>56.168999999999997</v>
      </c>
      <c r="BT59">
        <v>938.298</v>
      </c>
      <c r="BU59">
        <v>1206.383</v>
      </c>
      <c r="BV59">
        <v>4208.2070000000003</v>
      </c>
      <c r="BW59">
        <v>4222.34</v>
      </c>
      <c r="BX59">
        <v>161.56700000000001</v>
      </c>
      <c r="BY59">
        <v>3485.1060000000002</v>
      </c>
      <c r="BZ59">
        <v>4557.4470000000001</v>
      </c>
      <c r="CA59">
        <v>2.2200000000000002</v>
      </c>
      <c r="CB59">
        <v>7</v>
      </c>
      <c r="CC59">
        <v>4</v>
      </c>
      <c r="CD59">
        <v>0</v>
      </c>
      <c r="CE59">
        <v>4</v>
      </c>
      <c r="CF59">
        <v>4</v>
      </c>
    </row>
    <row r="60" spans="1:84" x14ac:dyDescent="0.35">
      <c r="A60" t="s">
        <v>119</v>
      </c>
      <c r="B60" t="str">
        <f t="shared" si="2"/>
        <v xml:space="preserve"> em_di_2000_04_26_182</v>
      </c>
      <c r="C60" s="1">
        <f t="shared" si="3"/>
        <v>45750</v>
      </c>
      <c r="D60" t="s">
        <v>78</v>
      </c>
      <c r="E60">
        <v>170.99100000000001</v>
      </c>
      <c r="F60">
        <v>169.10499999999999</v>
      </c>
      <c r="G60">
        <v>7.3109999999999999</v>
      </c>
      <c r="H60">
        <v>153.35300000000001</v>
      </c>
      <c r="I60">
        <v>0.97532467532467526</v>
      </c>
      <c r="J60">
        <v>197.88499999999999</v>
      </c>
      <c r="K60">
        <v>1.6233766233766236E-2</v>
      </c>
      <c r="L60">
        <v>0.65800000000000003</v>
      </c>
      <c r="M60">
        <v>-19.84</v>
      </c>
      <c r="N60">
        <v>810.52499999999998</v>
      </c>
      <c r="O60">
        <v>784.55100000000004</v>
      </c>
      <c r="P60">
        <v>65.281999999999996</v>
      </c>
      <c r="Q60">
        <v>660.67399999999998</v>
      </c>
      <c r="R60">
        <v>1073.596</v>
      </c>
      <c r="S60">
        <v>1076.98</v>
      </c>
      <c r="T60">
        <v>1073.596</v>
      </c>
      <c r="U60">
        <v>31.352</v>
      </c>
      <c r="V60">
        <v>1032.3030000000001</v>
      </c>
      <c r="W60">
        <v>1156.18</v>
      </c>
      <c r="X60">
        <v>2520.152</v>
      </c>
      <c r="Y60">
        <v>2518.8200000000002</v>
      </c>
      <c r="Z60">
        <v>54.927</v>
      </c>
      <c r="AA60">
        <v>2436.2359999999999</v>
      </c>
      <c r="AB60">
        <v>2683.989</v>
      </c>
      <c r="AC60">
        <v>1.54</v>
      </c>
      <c r="AD60">
        <v>185.858</v>
      </c>
      <c r="AE60">
        <v>184.74</v>
      </c>
      <c r="AF60">
        <v>8.3580000000000005</v>
      </c>
      <c r="AG60">
        <v>176.602</v>
      </c>
      <c r="AH60">
        <v>0.98690476190476184</v>
      </c>
      <c r="AI60">
        <v>228.49700000000001</v>
      </c>
      <c r="AJ60">
        <v>0</v>
      </c>
      <c r="AK60">
        <v>0.48799999999999999</v>
      </c>
      <c r="AL60">
        <v>-29.643999999999998</v>
      </c>
      <c r="AM60">
        <v>352.44799999999998</v>
      </c>
      <c r="AN60">
        <v>352.44799999999998</v>
      </c>
      <c r="AO60">
        <v>7913</v>
      </c>
      <c r="AP60">
        <v>308.392</v>
      </c>
      <c r="AQ60">
        <v>396.50299999999999</v>
      </c>
      <c r="AR60">
        <v>2406.7820000000002</v>
      </c>
      <c r="AS60">
        <v>2423.0770000000002</v>
      </c>
      <c r="AT60">
        <v>83.882000000000005</v>
      </c>
      <c r="AU60">
        <v>1938.462</v>
      </c>
      <c r="AV60">
        <v>2555.2449999999999</v>
      </c>
      <c r="AW60">
        <v>3140.6460000000002</v>
      </c>
      <c r="AX60">
        <v>3127.9720000000002</v>
      </c>
      <c r="AY60">
        <v>113.39100000000001</v>
      </c>
      <c r="AZ60">
        <v>2863.636</v>
      </c>
      <c r="BA60">
        <v>3480.42</v>
      </c>
      <c r="BB60">
        <v>1.68</v>
      </c>
      <c r="BC60">
        <v>190.34800000000001</v>
      </c>
      <c r="BD60">
        <v>189.73599999999999</v>
      </c>
      <c r="BE60">
        <v>5.0369999999999999</v>
      </c>
      <c r="BF60">
        <v>170.93</v>
      </c>
      <c r="BG60">
        <v>0.98750000000000004</v>
      </c>
      <c r="BH60">
        <v>204.43700000000001</v>
      </c>
      <c r="BI60">
        <v>1.3749999999999998E-2</v>
      </c>
      <c r="BJ60">
        <v>0.625</v>
      </c>
      <c r="BK60">
        <v>-31.277000000000001</v>
      </c>
      <c r="BL60">
        <v>359.13900000000001</v>
      </c>
      <c r="BM60">
        <v>364.84</v>
      </c>
      <c r="BN60">
        <v>17.007999999999999</v>
      </c>
      <c r="BO60">
        <v>319.23500000000001</v>
      </c>
      <c r="BP60">
        <v>410.44499999999999</v>
      </c>
      <c r="BQ60">
        <v>1118.3430000000001</v>
      </c>
      <c r="BR60">
        <v>1094.519</v>
      </c>
      <c r="BS60">
        <v>50.433999999999997</v>
      </c>
      <c r="BT60">
        <v>1048.914</v>
      </c>
      <c r="BU60">
        <v>1368.1489999999999</v>
      </c>
      <c r="BV60">
        <v>2577.3139999999999</v>
      </c>
      <c r="BW60">
        <v>2553.8780000000002</v>
      </c>
      <c r="BX60">
        <v>165.584</v>
      </c>
      <c r="BY60">
        <v>2371.4580000000001</v>
      </c>
      <c r="BZ60">
        <v>3192.3470000000002</v>
      </c>
      <c r="CA60">
        <v>1.6</v>
      </c>
      <c r="CB60">
        <v>5</v>
      </c>
      <c r="CC60">
        <v>1</v>
      </c>
      <c r="CD60">
        <v>0</v>
      </c>
      <c r="CE60">
        <v>2</v>
      </c>
      <c r="CF60">
        <v>1</v>
      </c>
    </row>
    <row r="61" spans="1:84" x14ac:dyDescent="0.35">
      <c r="A61" t="s">
        <v>84</v>
      </c>
      <c r="B61" t="str">
        <f>_xlfn.TEXTBEFORE(_xlfn.TEXTAFTER(A61,"-"),"_ONLY_VOWELS")</f>
        <v xml:space="preserve"> ev_tu_2004_10_06_265</v>
      </c>
      <c r="C61" s="1">
        <f t="shared" si="3"/>
        <v>45748</v>
      </c>
      <c r="D61" t="s">
        <v>78</v>
      </c>
      <c r="E61">
        <v>165.923</v>
      </c>
      <c r="F61">
        <v>166.41499999999999</v>
      </c>
      <c r="G61">
        <v>3.403</v>
      </c>
      <c r="H61">
        <v>138.43</v>
      </c>
      <c r="I61">
        <v>0</v>
      </c>
      <c r="J61">
        <v>168.596</v>
      </c>
      <c r="K61">
        <v>2.5247524752475246E-2</v>
      </c>
      <c r="L61">
        <v>0.58099999999999996</v>
      </c>
      <c r="M61">
        <v>-19.640999999999998</v>
      </c>
      <c r="N61">
        <v>717.57799999999997</v>
      </c>
      <c r="O61">
        <v>712.56700000000001</v>
      </c>
      <c r="P61">
        <v>86.77</v>
      </c>
      <c r="Q61">
        <v>475.04500000000002</v>
      </c>
      <c r="R61">
        <v>989.67700000000002</v>
      </c>
      <c r="S61">
        <v>1268.7909999999999</v>
      </c>
      <c r="T61">
        <v>1266.7860000000001</v>
      </c>
      <c r="U61">
        <v>38.506</v>
      </c>
      <c r="V61">
        <v>1187.6120000000001</v>
      </c>
      <c r="W61">
        <v>1425.135</v>
      </c>
      <c r="X61">
        <v>2575.1640000000002</v>
      </c>
      <c r="Y61">
        <v>2573.16</v>
      </c>
      <c r="Z61">
        <v>82.869</v>
      </c>
      <c r="AA61">
        <v>2414.8110000000001</v>
      </c>
      <c r="AB61">
        <v>2810.6819999999998</v>
      </c>
      <c r="AC61">
        <v>2.02</v>
      </c>
      <c r="AD61">
        <v>170.376</v>
      </c>
      <c r="AE61">
        <v>170.27</v>
      </c>
      <c r="AF61">
        <v>1.966</v>
      </c>
      <c r="AG61">
        <v>168.04599999999999</v>
      </c>
      <c r="AH61">
        <v>0.64444444444444438</v>
      </c>
      <c r="AI61">
        <v>183.75</v>
      </c>
      <c r="AJ61">
        <v>0</v>
      </c>
      <c r="AK61">
        <v>0.41299999999999998</v>
      </c>
      <c r="AL61">
        <v>-25.939</v>
      </c>
      <c r="AM61">
        <v>325.46100000000001</v>
      </c>
      <c r="AN61">
        <v>325.46100000000001</v>
      </c>
      <c r="AO61">
        <v>0</v>
      </c>
      <c r="AP61">
        <v>325.46100000000001</v>
      </c>
      <c r="AQ61">
        <v>325.46100000000001</v>
      </c>
      <c r="AR61">
        <v>2482.5880000000002</v>
      </c>
      <c r="AS61">
        <v>2522.3249999999998</v>
      </c>
      <c r="AT61">
        <v>110.224</v>
      </c>
      <c r="AU61">
        <v>1627.306</v>
      </c>
      <c r="AV61">
        <v>2563.0070000000001</v>
      </c>
      <c r="AW61">
        <v>3219.0740000000001</v>
      </c>
      <c r="AX61">
        <v>3173.2469999999998</v>
      </c>
      <c r="AY61">
        <v>186.721</v>
      </c>
      <c r="AZ61">
        <v>2847.7860000000001</v>
      </c>
      <c r="BA61">
        <v>3824.17</v>
      </c>
      <c r="BB61">
        <v>2.16</v>
      </c>
      <c r="BC61">
        <v>173.69399999999999</v>
      </c>
      <c r="BD61">
        <v>172.458</v>
      </c>
      <c r="BE61">
        <v>4.4550000000000001</v>
      </c>
      <c r="BF61">
        <v>159.452</v>
      </c>
      <c r="BG61">
        <v>0.99705882352941178</v>
      </c>
      <c r="BH61">
        <v>192.33600000000001</v>
      </c>
      <c r="BI61">
        <v>1.1764705882352941E-2</v>
      </c>
      <c r="BJ61">
        <v>0.438</v>
      </c>
      <c r="BK61">
        <v>-30.76</v>
      </c>
      <c r="BL61">
        <v>340.976</v>
      </c>
      <c r="BM61">
        <v>334.40800000000002</v>
      </c>
      <c r="BN61">
        <v>15.323</v>
      </c>
      <c r="BO61">
        <v>334.40800000000002</v>
      </c>
      <c r="BP61">
        <v>376.209</v>
      </c>
      <c r="BQ61">
        <v>1069.4079999999999</v>
      </c>
      <c r="BR61">
        <v>1045.0239999999999</v>
      </c>
      <c r="BS61">
        <v>59.008000000000003</v>
      </c>
      <c r="BT61">
        <v>1045.0239999999999</v>
      </c>
      <c r="BU61">
        <v>1254.028</v>
      </c>
      <c r="BV61">
        <v>3244.9479999999999</v>
      </c>
      <c r="BW61">
        <v>3260.4740000000002</v>
      </c>
      <c r="BX61">
        <v>145.87799999999999</v>
      </c>
      <c r="BY61">
        <v>2800.6640000000002</v>
      </c>
      <c r="BZ61">
        <v>3636.6819999999998</v>
      </c>
      <c r="CA61">
        <v>1.7</v>
      </c>
      <c r="CB61">
        <v>8</v>
      </c>
      <c r="CC61">
        <v>3</v>
      </c>
      <c r="CD61">
        <v>0</v>
      </c>
      <c r="CE61">
        <v>5</v>
      </c>
      <c r="CF61">
        <v>4</v>
      </c>
    </row>
    <row r="62" spans="1:84" x14ac:dyDescent="0.35">
      <c r="A62" t="s">
        <v>203</v>
      </c>
      <c r="B62" t="str">
        <f>_xlfn.TEXTBEFORE(_xlfn.TEXTAFTER(A62,"-"),"_ONLY_VOWELS")</f>
        <v xml:space="preserve"> fa_ca_2001_08_09_201</v>
      </c>
      <c r="C62" s="1">
        <f t="shared" si="3"/>
        <v>45745</v>
      </c>
      <c r="D62" t="s">
        <v>78</v>
      </c>
      <c r="E62">
        <v>156.82599999999999</v>
      </c>
      <c r="F62">
        <v>154.65700000000001</v>
      </c>
      <c r="G62">
        <v>11.672000000000001</v>
      </c>
      <c r="H62">
        <v>144.726</v>
      </c>
      <c r="I62">
        <v>0.21249999999999999</v>
      </c>
      <c r="J62">
        <v>171.691</v>
      </c>
      <c r="K62">
        <v>0.98333333333333328</v>
      </c>
      <c r="L62">
        <v>2.585</v>
      </c>
      <c r="M62">
        <v>-13.032999999999999</v>
      </c>
      <c r="N62">
        <v>791.46699999999998</v>
      </c>
      <c r="O62">
        <v>814.61</v>
      </c>
      <c r="P62">
        <v>106.46899999999999</v>
      </c>
      <c r="Q62">
        <v>555.41600000000005</v>
      </c>
      <c r="R62">
        <v>888.66499999999996</v>
      </c>
      <c r="S62">
        <v>1191.058</v>
      </c>
      <c r="T62">
        <v>1184.8869999999999</v>
      </c>
      <c r="U62">
        <v>43.286999999999999</v>
      </c>
      <c r="V62">
        <v>1147.8589999999999</v>
      </c>
      <c r="W62">
        <v>1258.942</v>
      </c>
      <c r="X62">
        <v>2744.6790000000001</v>
      </c>
      <c r="Y62">
        <v>2758.5639999999999</v>
      </c>
      <c r="Z62">
        <v>213.57</v>
      </c>
      <c r="AA62">
        <v>2332.7460000000001</v>
      </c>
      <c r="AB62">
        <v>2999.2440000000001</v>
      </c>
      <c r="AC62">
        <v>0.24</v>
      </c>
      <c r="AD62">
        <v>141.626</v>
      </c>
      <c r="AE62">
        <v>141.023</v>
      </c>
      <c r="AF62">
        <v>2.8370000000000002</v>
      </c>
      <c r="AG62">
        <v>138.36799999999999</v>
      </c>
      <c r="AH62">
        <v>0.98571428571428565</v>
      </c>
      <c r="AI62">
        <v>147.351</v>
      </c>
      <c r="AJ62">
        <v>7.1428571428571425E-2</v>
      </c>
      <c r="AK62">
        <v>1.0660000000000001</v>
      </c>
      <c r="AL62">
        <v>-18.577999999999999</v>
      </c>
      <c r="AM62">
        <v>307.47000000000003</v>
      </c>
      <c r="AN62">
        <v>316.255</v>
      </c>
      <c r="AO62">
        <v>16.265999999999998</v>
      </c>
      <c r="AP62">
        <v>281.11599999999999</v>
      </c>
      <c r="AQ62">
        <v>316.255</v>
      </c>
      <c r="AR62">
        <v>2412.9079999999999</v>
      </c>
      <c r="AS62">
        <v>2459.761</v>
      </c>
      <c r="AT62">
        <v>133.80699999999999</v>
      </c>
      <c r="AU62">
        <v>2143.5059999999999</v>
      </c>
      <c r="AV62">
        <v>2530.04</v>
      </c>
      <c r="AW62">
        <v>2963.4259999999999</v>
      </c>
      <c r="AX62">
        <v>2986.8530000000001</v>
      </c>
      <c r="AY62">
        <v>207.88800000000001</v>
      </c>
      <c r="AZ62">
        <v>2635.4580000000001</v>
      </c>
      <c r="BA62">
        <v>3373.386</v>
      </c>
      <c r="BB62">
        <v>0.28000000000000003</v>
      </c>
      <c r="BC62">
        <v>173.72800000000001</v>
      </c>
      <c r="BD62">
        <v>160.53899999999999</v>
      </c>
      <c r="BE62">
        <v>40.917000000000002</v>
      </c>
      <c r="BF62">
        <v>151.32400000000001</v>
      </c>
      <c r="BG62">
        <v>0.29615384615384616</v>
      </c>
      <c r="BH62">
        <v>286.89600000000002</v>
      </c>
      <c r="BI62">
        <v>0</v>
      </c>
      <c r="BJ62">
        <v>7.2</v>
      </c>
      <c r="BK62">
        <v>-16.968</v>
      </c>
      <c r="BL62">
        <v>439.70699999999999</v>
      </c>
      <c r="BM62">
        <v>409.53100000000001</v>
      </c>
      <c r="BN62">
        <v>109.057</v>
      </c>
      <c r="BO62">
        <v>344.86799999999999</v>
      </c>
      <c r="BP62">
        <v>732.84500000000003</v>
      </c>
      <c r="BQ62">
        <v>1284.633</v>
      </c>
      <c r="BR62">
        <v>1207.038</v>
      </c>
      <c r="BS62">
        <v>210.011</v>
      </c>
      <c r="BT62">
        <v>1120.8209999999999</v>
      </c>
      <c r="BU62">
        <v>1767.4490000000001</v>
      </c>
      <c r="BV62">
        <v>2677.038</v>
      </c>
      <c r="BW62">
        <v>2672.7269999999999</v>
      </c>
      <c r="BX62">
        <v>82.421000000000006</v>
      </c>
      <c r="BY62">
        <v>2500.2930000000001</v>
      </c>
      <c r="BZ62">
        <v>2802.0529999999999</v>
      </c>
      <c r="CA62">
        <v>0.26</v>
      </c>
      <c r="CB62">
        <v>3</v>
      </c>
      <c r="CC62">
        <v>2</v>
      </c>
      <c r="CD62">
        <v>2</v>
      </c>
      <c r="CE62">
        <v>1</v>
      </c>
      <c r="CF62">
        <v>0</v>
      </c>
    </row>
    <row r="63" spans="1:84" x14ac:dyDescent="0.35">
      <c r="A63" t="s">
        <v>162</v>
      </c>
      <c r="B63" t="str">
        <f t="shared" ref="B63:B94" si="4">_xlfn.TEXTAFTER(A63,"-")</f>
        <v xml:space="preserve"> fe_gi_1999_08_28_709</v>
      </c>
      <c r="C63" s="1">
        <f t="shared" si="3"/>
        <v>45752</v>
      </c>
      <c r="D63" t="s">
        <v>78</v>
      </c>
      <c r="E63">
        <v>157.82599999999999</v>
      </c>
      <c r="F63">
        <v>158.30799999999999</v>
      </c>
      <c r="G63">
        <v>6.359</v>
      </c>
      <c r="H63">
        <v>96.347999999999999</v>
      </c>
      <c r="I63">
        <v>0</v>
      </c>
      <c r="J63">
        <v>167.31700000000001</v>
      </c>
      <c r="K63">
        <v>0.96048951048951048</v>
      </c>
      <c r="L63">
        <v>1.2</v>
      </c>
      <c r="M63">
        <v>-21.478000000000002</v>
      </c>
      <c r="N63">
        <v>629.54499999999996</v>
      </c>
      <c r="O63">
        <v>637.5</v>
      </c>
      <c r="P63">
        <v>71.727999999999994</v>
      </c>
      <c r="Q63">
        <v>412.5</v>
      </c>
      <c r="R63">
        <v>900</v>
      </c>
      <c r="S63">
        <v>1269.693</v>
      </c>
      <c r="T63">
        <v>1275</v>
      </c>
      <c r="U63">
        <v>62.63</v>
      </c>
      <c r="V63">
        <v>1162.5</v>
      </c>
      <c r="W63">
        <v>1462.5</v>
      </c>
      <c r="X63">
        <v>3127.712</v>
      </c>
      <c r="Y63">
        <v>3112.5</v>
      </c>
      <c r="Z63">
        <v>336.07900000000001</v>
      </c>
      <c r="AA63">
        <v>2400</v>
      </c>
      <c r="AB63">
        <v>3975</v>
      </c>
      <c r="AC63">
        <v>2.86</v>
      </c>
      <c r="AD63">
        <v>160.58500000000001</v>
      </c>
      <c r="AE63">
        <v>159.78299999999999</v>
      </c>
      <c r="AF63">
        <v>4.306</v>
      </c>
      <c r="AG63">
        <v>156.22499999999999</v>
      </c>
      <c r="AH63">
        <v>8.3757961783439486E-2</v>
      </c>
      <c r="AI63">
        <v>188.80699999999999</v>
      </c>
      <c r="AJ63">
        <v>0</v>
      </c>
      <c r="AK63">
        <v>0.58799999999999997</v>
      </c>
      <c r="AL63">
        <v>-25.398</v>
      </c>
      <c r="AM63">
        <v>309.30700000000002</v>
      </c>
      <c r="AN63">
        <v>307.05</v>
      </c>
      <c r="AO63">
        <v>9069</v>
      </c>
      <c r="AP63">
        <v>307.05</v>
      </c>
      <c r="AQ63">
        <v>345.43099999999998</v>
      </c>
      <c r="AR63">
        <v>2365.7379999999998</v>
      </c>
      <c r="AS63">
        <v>2341.2530000000002</v>
      </c>
      <c r="AT63">
        <v>70.933999999999997</v>
      </c>
      <c r="AU63">
        <v>2034.204</v>
      </c>
      <c r="AV63">
        <v>2533.1590000000001</v>
      </c>
      <c r="AW63">
        <v>3841.99</v>
      </c>
      <c r="AX63">
        <v>3876.5010000000002</v>
      </c>
      <c r="AY63">
        <v>179.49600000000001</v>
      </c>
      <c r="AZ63">
        <v>3415.9270000000001</v>
      </c>
      <c r="BA63">
        <v>4221.9319999999998</v>
      </c>
      <c r="BB63">
        <v>3.14</v>
      </c>
      <c r="BC63">
        <v>165.14400000000001</v>
      </c>
      <c r="BD63">
        <v>160.197</v>
      </c>
      <c r="BE63">
        <v>28.606000000000002</v>
      </c>
      <c r="BF63">
        <v>156.78</v>
      </c>
      <c r="BG63">
        <v>0.12259259259259259</v>
      </c>
      <c r="BH63">
        <v>355.64499999999998</v>
      </c>
      <c r="BI63">
        <v>0</v>
      </c>
      <c r="BJ63">
        <v>1.0249999999999999</v>
      </c>
      <c r="BK63">
        <v>-24.106999999999999</v>
      </c>
      <c r="BL63">
        <v>362.12599999999998</v>
      </c>
      <c r="BM63">
        <v>341.53</v>
      </c>
      <c r="BN63">
        <v>24.908000000000001</v>
      </c>
      <c r="BO63">
        <v>341.53</v>
      </c>
      <c r="BP63">
        <v>426.91199999999998</v>
      </c>
      <c r="BQ63">
        <v>1122.3389999999999</v>
      </c>
      <c r="BR63">
        <v>1109.971</v>
      </c>
      <c r="BS63">
        <v>52.453000000000003</v>
      </c>
      <c r="BT63">
        <v>981.89700000000005</v>
      </c>
      <c r="BU63">
        <v>1323.4269999999999</v>
      </c>
      <c r="BV63">
        <v>3773.6770000000001</v>
      </c>
      <c r="BW63">
        <v>3756.8249999999998</v>
      </c>
      <c r="BX63">
        <v>399.21300000000002</v>
      </c>
      <c r="BY63">
        <v>2945.692</v>
      </c>
      <c r="BZ63">
        <v>4610.6490000000003</v>
      </c>
      <c r="CA63">
        <v>2.7</v>
      </c>
      <c r="CB63">
        <v>5</v>
      </c>
      <c r="CC63">
        <v>3</v>
      </c>
      <c r="CD63">
        <v>1</v>
      </c>
      <c r="CE63">
        <v>5</v>
      </c>
      <c r="CF63">
        <v>0</v>
      </c>
    </row>
    <row r="64" spans="1:84" x14ac:dyDescent="0.35">
      <c r="A64" t="s">
        <v>206</v>
      </c>
      <c r="B64" t="str">
        <f t="shared" si="4"/>
        <v xml:space="preserve"> fr_ba_2001_12_15_595</v>
      </c>
      <c r="C64" s="1">
        <f t="shared" si="3"/>
        <v>45746</v>
      </c>
      <c r="D64" t="s">
        <v>78</v>
      </c>
      <c r="E64">
        <v>187.417</v>
      </c>
      <c r="F64">
        <v>184.96100000000001</v>
      </c>
      <c r="G64">
        <v>13.638999999999999</v>
      </c>
      <c r="H64">
        <v>175</v>
      </c>
      <c r="I64">
        <v>0.15425531914893617</v>
      </c>
      <c r="J64">
        <v>294</v>
      </c>
      <c r="K64">
        <v>0</v>
      </c>
      <c r="L64">
        <v>1.2589999999999999</v>
      </c>
      <c r="M64">
        <v>-21.661000000000001</v>
      </c>
      <c r="N64">
        <v>813.12900000000002</v>
      </c>
      <c r="O64">
        <v>815.827</v>
      </c>
      <c r="P64">
        <v>61.878</v>
      </c>
      <c r="Q64">
        <v>679.85599999999999</v>
      </c>
      <c r="R64">
        <v>1042.4459999999999</v>
      </c>
      <c r="S64">
        <v>1278.777</v>
      </c>
      <c r="T64">
        <v>1269.0650000000001</v>
      </c>
      <c r="U64">
        <v>68.599999999999994</v>
      </c>
      <c r="V64">
        <v>1133.0940000000001</v>
      </c>
      <c r="W64">
        <v>1405.0360000000001</v>
      </c>
      <c r="X64">
        <v>3222.3020000000001</v>
      </c>
      <c r="Y64">
        <v>3172.6619999999998</v>
      </c>
      <c r="Z64">
        <v>241.232</v>
      </c>
      <c r="AA64">
        <v>2674.1010000000001</v>
      </c>
      <c r="AB64">
        <v>3943.165</v>
      </c>
      <c r="AC64">
        <v>1.88</v>
      </c>
      <c r="AD64">
        <v>190.95099999999999</v>
      </c>
      <c r="AE64">
        <v>190.321</v>
      </c>
      <c r="AF64">
        <v>3.76</v>
      </c>
      <c r="AG64">
        <v>183.96899999999999</v>
      </c>
      <c r="AH64">
        <v>0.71875</v>
      </c>
      <c r="AI64">
        <v>203.762</v>
      </c>
      <c r="AJ64">
        <v>0</v>
      </c>
      <c r="AK64">
        <v>0.59099999999999997</v>
      </c>
      <c r="AL64">
        <v>-28.524000000000001</v>
      </c>
      <c r="AM64">
        <v>325.464</v>
      </c>
      <c r="AN64">
        <v>318.24700000000001</v>
      </c>
      <c r="AO64">
        <v>16.747</v>
      </c>
      <c r="AP64">
        <v>318.24700000000001</v>
      </c>
      <c r="AQ64">
        <v>363.71100000000001</v>
      </c>
      <c r="AR64">
        <v>2423.2269999999999</v>
      </c>
      <c r="AS64">
        <v>2432.3200000000002</v>
      </c>
      <c r="AT64">
        <v>77.421999999999997</v>
      </c>
      <c r="AU64">
        <v>2227.732</v>
      </c>
      <c r="AV64">
        <v>2500.5149999999999</v>
      </c>
      <c r="AW64">
        <v>4063.2049999999999</v>
      </c>
      <c r="AX64">
        <v>4046.2890000000002</v>
      </c>
      <c r="AY64">
        <v>157.19</v>
      </c>
      <c r="AZ64">
        <v>3455.2579999999998</v>
      </c>
      <c r="BA64">
        <v>4364.5360000000001</v>
      </c>
      <c r="BB64">
        <v>1.92</v>
      </c>
      <c r="BC64">
        <v>196.22300000000001</v>
      </c>
      <c r="BD64">
        <v>195.31800000000001</v>
      </c>
      <c r="BE64">
        <v>3.9950000000000001</v>
      </c>
      <c r="BF64">
        <v>182.447</v>
      </c>
      <c r="BG64">
        <v>0</v>
      </c>
      <c r="BH64">
        <v>206.07499999999999</v>
      </c>
      <c r="BI64">
        <v>0.1043010752688172</v>
      </c>
      <c r="BJ64">
        <v>0.626</v>
      </c>
      <c r="BK64">
        <v>-29.689</v>
      </c>
      <c r="BL64">
        <v>376.95600000000002</v>
      </c>
      <c r="BM64">
        <v>375.31900000000002</v>
      </c>
      <c r="BN64">
        <v>15.177</v>
      </c>
      <c r="BO64">
        <v>375.31900000000002</v>
      </c>
      <c r="BP64">
        <v>516.06399999999996</v>
      </c>
      <c r="BQ64">
        <v>1157.2339999999999</v>
      </c>
      <c r="BR64">
        <v>985.21299999999997</v>
      </c>
      <c r="BS64">
        <v>297.95</v>
      </c>
      <c r="BT64">
        <v>985.21299999999997</v>
      </c>
      <c r="BU64">
        <v>1501.277</v>
      </c>
      <c r="BV64">
        <v>4484.1909999999998</v>
      </c>
      <c r="BW64">
        <v>4503.83</v>
      </c>
      <c r="BX64">
        <v>214.98699999999999</v>
      </c>
      <c r="BY64">
        <v>3987.7660000000001</v>
      </c>
      <c r="BZ64">
        <v>4972.9790000000003</v>
      </c>
      <c r="CA64">
        <v>1.86</v>
      </c>
      <c r="CB64">
        <v>1</v>
      </c>
      <c r="CC64">
        <v>1</v>
      </c>
      <c r="CD64">
        <v>0</v>
      </c>
      <c r="CE64">
        <v>1</v>
      </c>
      <c r="CF64">
        <v>0</v>
      </c>
    </row>
    <row r="65" spans="1:84" x14ac:dyDescent="0.35">
      <c r="A65" t="s">
        <v>120</v>
      </c>
      <c r="B65" t="str">
        <f t="shared" si="4"/>
        <v xml:space="preserve"> fr_di_2002_05_11_518</v>
      </c>
      <c r="C65" s="1">
        <f t="shared" si="3"/>
        <v>45750</v>
      </c>
      <c r="D65" t="s">
        <v>78</v>
      </c>
      <c r="E65">
        <v>188.11099999999999</v>
      </c>
      <c r="F65">
        <v>188.46199999999999</v>
      </c>
      <c r="G65">
        <v>6.3730000000000002</v>
      </c>
      <c r="H65">
        <v>97.628</v>
      </c>
      <c r="I65">
        <v>0</v>
      </c>
      <c r="J65">
        <v>203.226</v>
      </c>
      <c r="K65">
        <v>0.99370229007633581</v>
      </c>
      <c r="L65">
        <v>1.0129999999999999</v>
      </c>
      <c r="M65">
        <v>-18.61</v>
      </c>
      <c r="N65">
        <v>807.25300000000004</v>
      </c>
      <c r="O65">
        <v>809.17399999999998</v>
      </c>
      <c r="P65">
        <v>36.018000000000001</v>
      </c>
      <c r="Q65">
        <v>629.35799999999995</v>
      </c>
      <c r="R65">
        <v>899.08299999999997</v>
      </c>
      <c r="S65">
        <v>1177.7270000000001</v>
      </c>
      <c r="T65">
        <v>1168.807</v>
      </c>
      <c r="U65">
        <v>56.584000000000003</v>
      </c>
      <c r="V65">
        <v>1078.8989999999999</v>
      </c>
      <c r="W65">
        <v>1303.67</v>
      </c>
      <c r="X65">
        <v>2987.1439999999998</v>
      </c>
      <c r="Y65">
        <v>2966.9720000000002</v>
      </c>
      <c r="Z65">
        <v>226.709</v>
      </c>
      <c r="AA65">
        <v>2562.3850000000002</v>
      </c>
      <c r="AB65">
        <v>3731.1930000000002</v>
      </c>
      <c r="AC65">
        <v>5.24</v>
      </c>
      <c r="AD65">
        <v>189.60300000000001</v>
      </c>
      <c r="AE65">
        <v>192.697</v>
      </c>
      <c r="AF65">
        <v>20.399000000000001</v>
      </c>
      <c r="AG65">
        <v>95.19</v>
      </c>
      <c r="AH65">
        <v>0.60232558139534886</v>
      </c>
      <c r="AI65">
        <v>286.89600000000002</v>
      </c>
      <c r="AJ65">
        <v>0.59379844961240313</v>
      </c>
      <c r="AK65">
        <v>2.56</v>
      </c>
      <c r="AL65">
        <v>-21.655000000000001</v>
      </c>
      <c r="AM65">
        <v>333.15499999999997</v>
      </c>
      <c r="AN65">
        <v>316.61500000000001</v>
      </c>
      <c r="AO65">
        <v>21.866</v>
      </c>
      <c r="AP65">
        <v>316.61500000000001</v>
      </c>
      <c r="AQ65">
        <v>361.846</v>
      </c>
      <c r="AR65">
        <v>2412.308</v>
      </c>
      <c r="AS65">
        <v>2397.2310000000002</v>
      </c>
      <c r="AT65">
        <v>113.625</v>
      </c>
      <c r="AU65">
        <v>2125.846</v>
      </c>
      <c r="AV65">
        <v>2623.3850000000002</v>
      </c>
      <c r="AW65">
        <v>3148.0230000000001</v>
      </c>
      <c r="AX65">
        <v>3120.9229999999998</v>
      </c>
      <c r="AY65">
        <v>205.012</v>
      </c>
      <c r="AZ65">
        <v>2578.154</v>
      </c>
      <c r="BA65">
        <v>3708.9229999999998</v>
      </c>
      <c r="BB65">
        <v>5.16</v>
      </c>
      <c r="BC65">
        <v>196.376</v>
      </c>
      <c r="BD65">
        <v>197.75800000000001</v>
      </c>
      <c r="BE65">
        <v>13.063000000000001</v>
      </c>
      <c r="BF65">
        <v>96.741</v>
      </c>
      <c r="BG65">
        <v>0.22242990654205608</v>
      </c>
      <c r="BH65">
        <v>213.04300000000001</v>
      </c>
      <c r="BI65">
        <v>0</v>
      </c>
      <c r="BJ65">
        <v>1.095</v>
      </c>
      <c r="BK65">
        <v>-26.948</v>
      </c>
      <c r="BL65">
        <v>340.17</v>
      </c>
      <c r="BM65">
        <v>329.45600000000002</v>
      </c>
      <c r="BN65">
        <v>19.774999999999999</v>
      </c>
      <c r="BO65">
        <v>329.45600000000002</v>
      </c>
      <c r="BP65">
        <v>376.52100000000002</v>
      </c>
      <c r="BQ65">
        <v>1143.385</v>
      </c>
      <c r="BR65">
        <v>1129.5619999999999</v>
      </c>
      <c r="BS65">
        <v>113.18</v>
      </c>
      <c r="BT65">
        <v>988.36699999999996</v>
      </c>
      <c r="BU65">
        <v>1553.1479999999999</v>
      </c>
      <c r="BV65">
        <v>3125.998</v>
      </c>
      <c r="BW65">
        <v>3106.297</v>
      </c>
      <c r="BX65">
        <v>135.30000000000001</v>
      </c>
      <c r="BY65">
        <v>2729.7759999999998</v>
      </c>
      <c r="BZ65">
        <v>3482.8180000000002</v>
      </c>
      <c r="CA65">
        <v>6.42</v>
      </c>
      <c r="CB65">
        <v>8</v>
      </c>
      <c r="CC65">
        <v>5</v>
      </c>
      <c r="CD65">
        <v>0</v>
      </c>
      <c r="CE65">
        <v>4</v>
      </c>
      <c r="CF65">
        <v>3</v>
      </c>
    </row>
    <row r="66" spans="1:84" x14ac:dyDescent="0.35">
      <c r="A66" t="s">
        <v>121</v>
      </c>
      <c r="B66" t="str">
        <f t="shared" si="4"/>
        <v xml:space="preserve"> fr_ga_1998_02_14_859</v>
      </c>
      <c r="C66" s="1">
        <f t="shared" ref="C66:C97" si="5">DATEVALUE(SUBSTITUTE(_xlfn.TEXTAFTER(_xlfn.TEXTBEFORE(A66," -"),"a2_"),"_","/"))</f>
        <v>45750</v>
      </c>
      <c r="D66" t="s">
        <v>78</v>
      </c>
      <c r="E66">
        <v>224.36799999999999</v>
      </c>
      <c r="F66">
        <v>223.858</v>
      </c>
      <c r="G66">
        <v>2.6869999999999998</v>
      </c>
      <c r="H66">
        <v>219.87200000000001</v>
      </c>
      <c r="I66">
        <v>0.58623595505617987</v>
      </c>
      <c r="J66">
        <v>239.86</v>
      </c>
      <c r="K66">
        <v>5.0561797752808986E-3</v>
      </c>
      <c r="L66">
        <v>0.44400000000000001</v>
      </c>
      <c r="M66">
        <v>-30.745000000000001</v>
      </c>
      <c r="N66">
        <v>546.53800000000001</v>
      </c>
      <c r="O66">
        <v>544.44399999999996</v>
      </c>
      <c r="P66">
        <v>87.801000000000002</v>
      </c>
      <c r="Q66">
        <v>435.55599999999998</v>
      </c>
      <c r="R66">
        <v>1034.444</v>
      </c>
      <c r="S66">
        <v>1438.5239999999999</v>
      </c>
      <c r="T66">
        <v>1470</v>
      </c>
      <c r="U66">
        <v>59.069000000000003</v>
      </c>
      <c r="V66">
        <v>1252.222</v>
      </c>
      <c r="W66">
        <v>1524.444</v>
      </c>
      <c r="X66">
        <v>2921.8519999999999</v>
      </c>
      <c r="Y66">
        <v>2940</v>
      </c>
      <c r="Z66">
        <v>235.995</v>
      </c>
      <c r="AA66">
        <v>2068.8890000000001</v>
      </c>
      <c r="AB66">
        <v>3321.1109999999999</v>
      </c>
      <c r="AC66">
        <v>3.56</v>
      </c>
      <c r="AD66">
        <v>220.40700000000001</v>
      </c>
      <c r="AE66">
        <v>219.87200000000001</v>
      </c>
      <c r="AF66">
        <v>2.4740000000000002</v>
      </c>
      <c r="AG66">
        <v>212.45699999999999</v>
      </c>
      <c r="AH66">
        <v>1</v>
      </c>
      <c r="AI66">
        <v>229.006</v>
      </c>
      <c r="AJ66">
        <v>5.2910052910052916E-3</v>
      </c>
      <c r="AK66">
        <v>0.38700000000000001</v>
      </c>
      <c r="AL66">
        <v>-31.481999999999999</v>
      </c>
      <c r="AM66">
        <v>379.24599999999998</v>
      </c>
      <c r="AN66">
        <v>374.18200000000002</v>
      </c>
      <c r="AO66">
        <v>17.515999999999998</v>
      </c>
      <c r="AP66">
        <v>320.72699999999998</v>
      </c>
      <c r="AQ66">
        <v>427.63600000000002</v>
      </c>
      <c r="AR66">
        <v>1508.606</v>
      </c>
      <c r="AS66">
        <v>1496.7270000000001</v>
      </c>
      <c r="AT66">
        <v>106.164</v>
      </c>
      <c r="AU66">
        <v>1389.818</v>
      </c>
      <c r="AV66">
        <v>1710.5450000000001</v>
      </c>
      <c r="AW66">
        <v>3686.768</v>
      </c>
      <c r="AX66">
        <v>3688.364</v>
      </c>
      <c r="AY66">
        <v>256.07499999999999</v>
      </c>
      <c r="AZ66">
        <v>2245.0909999999999</v>
      </c>
      <c r="BA66">
        <v>4276.3639999999996</v>
      </c>
      <c r="BB66">
        <v>3.78</v>
      </c>
      <c r="BC66">
        <v>221.08</v>
      </c>
      <c r="BD66">
        <v>220.815</v>
      </c>
      <c r="BE66">
        <v>3.153</v>
      </c>
      <c r="BF66">
        <v>211.005</v>
      </c>
      <c r="BG66">
        <v>1</v>
      </c>
      <c r="BH66">
        <v>238.74700000000001</v>
      </c>
      <c r="BI66">
        <v>4.7619047619047615E-3</v>
      </c>
      <c r="BJ66">
        <v>0.36799999999999999</v>
      </c>
      <c r="BK66">
        <v>-31.126000000000001</v>
      </c>
      <c r="BL66">
        <v>393.14299999999997</v>
      </c>
      <c r="BM66">
        <v>373.27699999999999</v>
      </c>
      <c r="BN66">
        <v>28.914999999999999</v>
      </c>
      <c r="BO66">
        <v>319.952</v>
      </c>
      <c r="BP66">
        <v>426.60199999999998</v>
      </c>
      <c r="BQ66">
        <v>980.49699999999996</v>
      </c>
      <c r="BR66">
        <v>959.85500000000002</v>
      </c>
      <c r="BS66">
        <v>113.98399999999999</v>
      </c>
      <c r="BT66">
        <v>906.53</v>
      </c>
      <c r="BU66">
        <v>1333.1320000000001</v>
      </c>
      <c r="BV66">
        <v>3353.2750000000001</v>
      </c>
      <c r="BW66">
        <v>3252.8420000000001</v>
      </c>
      <c r="BX66">
        <v>526.08199999999999</v>
      </c>
      <c r="BY66">
        <v>2452.9630000000002</v>
      </c>
      <c r="BZ66">
        <v>4479.3230000000003</v>
      </c>
      <c r="CA66">
        <v>4.2</v>
      </c>
      <c r="CB66">
        <v>5</v>
      </c>
      <c r="CC66">
        <v>1</v>
      </c>
      <c r="CD66">
        <v>0</v>
      </c>
      <c r="CE66">
        <v>4</v>
      </c>
      <c r="CF66">
        <v>1</v>
      </c>
    </row>
    <row r="67" spans="1:84" x14ac:dyDescent="0.35">
      <c r="A67" t="s">
        <v>163</v>
      </c>
      <c r="B67" t="str">
        <f t="shared" si="4"/>
        <v xml:space="preserve"> fr_pa_2005_07_15_344</v>
      </c>
      <c r="C67" s="1">
        <f t="shared" si="5"/>
        <v>45752</v>
      </c>
      <c r="D67" t="s">
        <v>78</v>
      </c>
      <c r="E67">
        <v>168.58099999999999</v>
      </c>
      <c r="F67">
        <v>168.41200000000001</v>
      </c>
      <c r="G67">
        <v>1.8280000000000001</v>
      </c>
      <c r="H67">
        <v>165.16900000000001</v>
      </c>
      <c r="I67">
        <v>0.94585987261146498</v>
      </c>
      <c r="J67">
        <v>180.52600000000001</v>
      </c>
      <c r="K67">
        <v>0.99363057324840764</v>
      </c>
      <c r="L67">
        <v>0.42599999999999999</v>
      </c>
      <c r="M67">
        <v>-20.236000000000001</v>
      </c>
      <c r="N67">
        <v>550.91399999999999</v>
      </c>
      <c r="O67">
        <v>524.04</v>
      </c>
      <c r="P67">
        <v>71.826999999999998</v>
      </c>
      <c r="Q67">
        <v>443.41899999999998</v>
      </c>
      <c r="R67">
        <v>967.45899999999995</v>
      </c>
      <c r="S67">
        <v>1248.268</v>
      </c>
      <c r="T67">
        <v>1249.634</v>
      </c>
      <c r="U67">
        <v>69.308000000000007</v>
      </c>
      <c r="V67">
        <v>1088.3910000000001</v>
      </c>
      <c r="W67">
        <v>1491.499</v>
      </c>
      <c r="X67">
        <v>2623.1030000000001</v>
      </c>
      <c r="Y67">
        <v>2620.201</v>
      </c>
      <c r="Z67">
        <v>158.80099999999999</v>
      </c>
      <c r="AA67">
        <v>2257.404</v>
      </c>
      <c r="AB67">
        <v>3103.931</v>
      </c>
      <c r="AC67">
        <v>3.14</v>
      </c>
      <c r="AD67">
        <v>167.453</v>
      </c>
      <c r="AE67">
        <v>167.31700000000001</v>
      </c>
      <c r="AF67">
        <v>2.2869999999999999</v>
      </c>
      <c r="AG67">
        <v>163.941</v>
      </c>
      <c r="AH67">
        <v>0.10236486486486486</v>
      </c>
      <c r="AI67">
        <v>179.477</v>
      </c>
      <c r="AJ67">
        <v>0</v>
      </c>
      <c r="AK67">
        <v>0.34499999999999997</v>
      </c>
      <c r="AL67">
        <v>-29.614000000000001</v>
      </c>
      <c r="AM67">
        <v>320.2</v>
      </c>
      <c r="AN67">
        <v>319.85500000000002</v>
      </c>
      <c r="AO67">
        <v>6448</v>
      </c>
      <c r="AP67">
        <v>279.87299999999999</v>
      </c>
      <c r="AQ67">
        <v>359.83699999999999</v>
      </c>
      <c r="AR67">
        <v>2064.2489999999998</v>
      </c>
      <c r="AS67">
        <v>2099.0479999999998</v>
      </c>
      <c r="AT67">
        <v>205.80799999999999</v>
      </c>
      <c r="AU67">
        <v>1679.2380000000001</v>
      </c>
      <c r="AV67">
        <v>2358.9299999999998</v>
      </c>
      <c r="AW67">
        <v>3501.66</v>
      </c>
      <c r="AX67">
        <v>3478.422</v>
      </c>
      <c r="AY67">
        <v>148.41800000000001</v>
      </c>
      <c r="AZ67">
        <v>3198.549</v>
      </c>
      <c r="BA67">
        <v>3838.259</v>
      </c>
      <c r="BB67">
        <v>2.96</v>
      </c>
      <c r="BC67">
        <v>168.46700000000001</v>
      </c>
      <c r="BD67">
        <v>166.505</v>
      </c>
      <c r="BE67">
        <v>15.951000000000001</v>
      </c>
      <c r="BF67">
        <v>163.506</v>
      </c>
      <c r="BG67">
        <v>0.58354430379746836</v>
      </c>
      <c r="BH67">
        <v>344.53100000000001</v>
      </c>
      <c r="BI67">
        <v>0</v>
      </c>
      <c r="BJ67">
        <v>0.64300000000000002</v>
      </c>
      <c r="BK67">
        <v>-30.623999999999999</v>
      </c>
      <c r="BL67">
        <v>326.85500000000002</v>
      </c>
      <c r="BM67">
        <v>323.67</v>
      </c>
      <c r="BN67">
        <v>33.271999999999998</v>
      </c>
      <c r="BO67">
        <v>283.21100000000001</v>
      </c>
      <c r="BP67">
        <v>687.798</v>
      </c>
      <c r="BQ67">
        <v>1051.9269999999999</v>
      </c>
      <c r="BR67">
        <v>1011.468</v>
      </c>
      <c r="BS67">
        <v>123.05</v>
      </c>
      <c r="BT67">
        <v>971.00900000000001</v>
      </c>
      <c r="BU67">
        <v>1375.596</v>
      </c>
      <c r="BV67">
        <v>3744.183</v>
      </c>
      <c r="BW67">
        <v>3762.6610000000001</v>
      </c>
      <c r="BX67">
        <v>212.672</v>
      </c>
      <c r="BY67">
        <v>3236.6970000000001</v>
      </c>
      <c r="BZ67">
        <v>4167.2479999999996</v>
      </c>
      <c r="CA67">
        <v>3.16</v>
      </c>
      <c r="CB67">
        <v>4</v>
      </c>
      <c r="CC67">
        <v>1</v>
      </c>
      <c r="CD67">
        <v>0</v>
      </c>
      <c r="CE67">
        <v>4</v>
      </c>
      <c r="CF67">
        <v>0</v>
      </c>
    </row>
    <row r="68" spans="1:84" x14ac:dyDescent="0.35">
      <c r="A68" t="s">
        <v>164</v>
      </c>
      <c r="B68" t="str">
        <f t="shared" si="4"/>
        <v xml:space="preserve"> ga_ba_2002_06_06_822</v>
      </c>
      <c r="C68" s="1">
        <f t="shared" si="5"/>
        <v>45752</v>
      </c>
      <c r="D68" t="s">
        <v>78</v>
      </c>
      <c r="E68">
        <v>190.80799999999999</v>
      </c>
      <c r="F68">
        <v>189.73599999999999</v>
      </c>
      <c r="G68">
        <v>7.702</v>
      </c>
      <c r="H68">
        <v>187.66</v>
      </c>
      <c r="I68">
        <v>0.13633540372670808</v>
      </c>
      <c r="J68">
        <v>275.625</v>
      </c>
      <c r="K68">
        <v>0</v>
      </c>
      <c r="L68">
        <v>0.51600000000000001</v>
      </c>
      <c r="M68">
        <v>-23.265999999999998</v>
      </c>
      <c r="N68">
        <v>818.56200000000001</v>
      </c>
      <c r="O68">
        <v>825.15599999999995</v>
      </c>
      <c r="P68">
        <v>25.247</v>
      </c>
      <c r="Q68">
        <v>733.47199999999998</v>
      </c>
      <c r="R68">
        <v>962.68200000000002</v>
      </c>
      <c r="S68">
        <v>1300.2170000000001</v>
      </c>
      <c r="T68">
        <v>1283.576</v>
      </c>
      <c r="U68">
        <v>40.246000000000002</v>
      </c>
      <c r="V68">
        <v>1191.8920000000001</v>
      </c>
      <c r="W68">
        <v>1512.7860000000001</v>
      </c>
      <c r="X68">
        <v>2604.5160000000001</v>
      </c>
      <c r="Y68">
        <v>2612.9940000000001</v>
      </c>
      <c r="Z68">
        <v>81.117000000000004</v>
      </c>
      <c r="AA68">
        <v>2475.4679999999998</v>
      </c>
      <c r="AB68">
        <v>3254.7820000000002</v>
      </c>
      <c r="AC68">
        <v>3.22</v>
      </c>
      <c r="AD68">
        <v>193.98699999999999</v>
      </c>
      <c r="AE68">
        <v>191.858</v>
      </c>
      <c r="AF68">
        <v>11.377000000000001</v>
      </c>
      <c r="AG68">
        <v>189.96899999999999</v>
      </c>
      <c r="AH68">
        <v>0.93870967741935485</v>
      </c>
      <c r="AI68">
        <v>295.12400000000002</v>
      </c>
      <c r="AJ68">
        <v>0.98806451612903223</v>
      </c>
      <c r="AK68">
        <v>0.64800000000000002</v>
      </c>
      <c r="AL68">
        <v>-28.747</v>
      </c>
      <c r="AM68">
        <v>324.60599999999999</v>
      </c>
      <c r="AN68">
        <v>324.60599999999999</v>
      </c>
      <c r="AO68">
        <v>65.58</v>
      </c>
      <c r="AP68">
        <v>278.233</v>
      </c>
      <c r="AQ68">
        <v>510.09500000000003</v>
      </c>
      <c r="AR68">
        <v>2353.3910000000001</v>
      </c>
      <c r="AS68">
        <v>2411.3560000000002</v>
      </c>
      <c r="AT68">
        <v>188.56899999999999</v>
      </c>
      <c r="AU68">
        <v>1391.1669999999999</v>
      </c>
      <c r="AV68">
        <v>2504.1010000000001</v>
      </c>
      <c r="AW68">
        <v>3431.5459999999998</v>
      </c>
      <c r="AX68">
        <v>3431.5459999999998</v>
      </c>
      <c r="AY68">
        <v>148.399</v>
      </c>
      <c r="AZ68">
        <v>3060.5680000000002</v>
      </c>
      <c r="BA68">
        <v>4266.2460000000001</v>
      </c>
      <c r="BB68">
        <v>3.1</v>
      </c>
      <c r="BC68">
        <v>192.25200000000001</v>
      </c>
      <c r="BD68">
        <v>190.791</v>
      </c>
      <c r="BE68">
        <v>8.8390000000000004</v>
      </c>
      <c r="BF68">
        <v>188.232</v>
      </c>
      <c r="BG68">
        <v>0.93162650602409647</v>
      </c>
      <c r="BH68">
        <v>290.678</v>
      </c>
      <c r="BI68">
        <v>6.6265060240963854E-3</v>
      </c>
      <c r="BJ68">
        <v>0.73899999999999999</v>
      </c>
      <c r="BK68">
        <v>-29.992999999999999</v>
      </c>
      <c r="BL68">
        <v>324.93599999999998</v>
      </c>
      <c r="BM68">
        <v>321.22800000000001</v>
      </c>
      <c r="BN68">
        <v>26.771999999999998</v>
      </c>
      <c r="BO68">
        <v>321.22800000000001</v>
      </c>
      <c r="BP68">
        <v>550.67600000000004</v>
      </c>
      <c r="BQ68">
        <v>1029.5250000000001</v>
      </c>
      <c r="BR68">
        <v>1009.573</v>
      </c>
      <c r="BS68">
        <v>110.157</v>
      </c>
      <c r="BT68">
        <v>963.68399999999997</v>
      </c>
      <c r="BU68">
        <v>1697.9190000000001</v>
      </c>
      <c r="BV68">
        <v>3473.9409999999998</v>
      </c>
      <c r="BW68">
        <v>3441.7269999999999</v>
      </c>
      <c r="BX68">
        <v>178.345</v>
      </c>
      <c r="BY68">
        <v>3074.61</v>
      </c>
      <c r="BZ68">
        <v>3992.404</v>
      </c>
      <c r="CA68">
        <v>3.32</v>
      </c>
      <c r="CB68">
        <v>4</v>
      </c>
      <c r="CC68">
        <v>0</v>
      </c>
      <c r="CD68">
        <v>0</v>
      </c>
      <c r="CE68">
        <v>1</v>
      </c>
      <c r="CF68">
        <v>0</v>
      </c>
    </row>
    <row r="69" spans="1:84" x14ac:dyDescent="0.35">
      <c r="A69" t="s">
        <v>186</v>
      </c>
      <c r="B69" t="str">
        <f t="shared" si="4"/>
        <v xml:space="preserve"> ga_sa_2005_04_30_467</v>
      </c>
      <c r="C69" s="1">
        <f t="shared" si="5"/>
        <v>45753</v>
      </c>
      <c r="D69" t="s">
        <v>78</v>
      </c>
      <c r="E69">
        <v>220.93700000000001</v>
      </c>
      <c r="F69">
        <v>221.608</v>
      </c>
      <c r="G69">
        <v>6.44</v>
      </c>
      <c r="H69">
        <v>203.62799999999999</v>
      </c>
      <c r="I69">
        <v>1.4179104477611939E-2</v>
      </c>
      <c r="J69">
        <v>229.346</v>
      </c>
      <c r="K69">
        <v>0.84776119402985062</v>
      </c>
      <c r="L69">
        <v>0.39600000000000002</v>
      </c>
      <c r="M69">
        <v>-24.346</v>
      </c>
      <c r="N69">
        <v>723.39</v>
      </c>
      <c r="O69">
        <v>750.18200000000002</v>
      </c>
      <c r="P69">
        <v>68.724999999999994</v>
      </c>
      <c r="Q69">
        <v>589.42899999999997</v>
      </c>
      <c r="R69">
        <v>803.76700000000005</v>
      </c>
      <c r="S69">
        <v>1184.1279999999999</v>
      </c>
      <c r="T69">
        <v>1178.8579999999999</v>
      </c>
      <c r="U69">
        <v>43.427999999999997</v>
      </c>
      <c r="V69">
        <v>1071.6890000000001</v>
      </c>
      <c r="W69">
        <v>1339.6110000000001</v>
      </c>
      <c r="X69">
        <v>3379.6480000000001</v>
      </c>
      <c r="Y69">
        <v>3429.4050000000002</v>
      </c>
      <c r="Z69">
        <v>371.50400000000002</v>
      </c>
      <c r="AA69">
        <v>2572.0529999999999</v>
      </c>
      <c r="AB69">
        <v>3965.2489999999998</v>
      </c>
      <c r="AC69">
        <v>1.34</v>
      </c>
      <c r="AD69">
        <v>216.209</v>
      </c>
      <c r="AE69">
        <v>218.31700000000001</v>
      </c>
      <c r="AF69">
        <v>5.2679999999999998</v>
      </c>
      <c r="AG69">
        <v>200.45500000000001</v>
      </c>
      <c r="AH69">
        <v>4.9166666666666664E-2</v>
      </c>
      <c r="AI69">
        <v>221.44900000000001</v>
      </c>
      <c r="AJ69">
        <v>0.42250000000000004</v>
      </c>
      <c r="AK69">
        <v>0.45400000000000001</v>
      </c>
      <c r="AL69">
        <v>-28.384</v>
      </c>
      <c r="AM69">
        <v>407.62099999999998</v>
      </c>
      <c r="AN69">
        <v>417.02100000000002</v>
      </c>
      <c r="AO69">
        <v>20.207000000000001</v>
      </c>
      <c r="AP69">
        <v>364.89400000000001</v>
      </c>
      <c r="AQ69">
        <v>417.02100000000002</v>
      </c>
      <c r="AR69">
        <v>2502.1280000000002</v>
      </c>
      <c r="AS69">
        <v>2502.1280000000002</v>
      </c>
      <c r="AT69">
        <v>0</v>
      </c>
      <c r="AU69">
        <v>2502.1280000000002</v>
      </c>
      <c r="AV69">
        <v>2502.1280000000002</v>
      </c>
      <c r="AW69">
        <v>3891.6289999999999</v>
      </c>
      <c r="AX69">
        <v>3909.5740000000001</v>
      </c>
      <c r="AY69">
        <v>185.983</v>
      </c>
      <c r="AZ69">
        <v>3492.5529999999999</v>
      </c>
      <c r="BA69">
        <v>4274.4679999999998</v>
      </c>
      <c r="BB69">
        <v>1.2</v>
      </c>
      <c r="BC69">
        <v>220.935</v>
      </c>
      <c r="BD69">
        <v>221.92699999999999</v>
      </c>
      <c r="BE69">
        <v>3.4660000000000002</v>
      </c>
      <c r="BF69">
        <v>211.72800000000001</v>
      </c>
      <c r="BG69">
        <v>4.191176470588235E-2</v>
      </c>
      <c r="BH69">
        <v>225.65799999999999</v>
      </c>
      <c r="BI69">
        <v>0.57132352941176467</v>
      </c>
      <c r="BJ69">
        <v>0.317</v>
      </c>
      <c r="BK69">
        <v>-30.212</v>
      </c>
      <c r="BL69">
        <v>429.66300000000001</v>
      </c>
      <c r="BM69">
        <v>428.15499999999997</v>
      </c>
      <c r="BN69">
        <v>12.702999999999999</v>
      </c>
      <c r="BO69">
        <v>428.15499999999997</v>
      </c>
      <c r="BP69">
        <v>535.19399999999996</v>
      </c>
      <c r="BQ69">
        <v>979.09100000000001</v>
      </c>
      <c r="BR69">
        <v>963.35</v>
      </c>
      <c r="BS69">
        <v>41.302999999999997</v>
      </c>
      <c r="BT69">
        <v>963.35</v>
      </c>
      <c r="BU69">
        <v>1123.9079999999999</v>
      </c>
      <c r="BV69">
        <v>3903.902</v>
      </c>
      <c r="BW69">
        <v>3906.9169999999999</v>
      </c>
      <c r="BX69">
        <v>116.866</v>
      </c>
      <c r="BY69">
        <v>3585.8009999999999</v>
      </c>
      <c r="BZ69">
        <v>4120.9949999999999</v>
      </c>
      <c r="CA69">
        <v>1.36</v>
      </c>
      <c r="CB69">
        <v>9</v>
      </c>
      <c r="CC69">
        <v>6</v>
      </c>
      <c r="CD69">
        <v>0</v>
      </c>
      <c r="CE69">
        <v>6</v>
      </c>
      <c r="CF69">
        <v>5</v>
      </c>
    </row>
    <row r="70" spans="1:84" x14ac:dyDescent="0.35">
      <c r="A70" t="s">
        <v>211</v>
      </c>
      <c r="B70" t="str">
        <f t="shared" si="4"/>
        <v xml:space="preserve"> gi_ca_1995_01_27_425</v>
      </c>
      <c r="C70" s="1">
        <f t="shared" si="5"/>
        <v>45747</v>
      </c>
      <c r="D70" t="s">
        <v>78</v>
      </c>
      <c r="E70">
        <v>167.226</v>
      </c>
      <c r="F70">
        <v>167.136</v>
      </c>
      <c r="G70">
        <v>1.6339999999999999</v>
      </c>
      <c r="H70">
        <v>164.37700000000001</v>
      </c>
      <c r="I70">
        <v>0.42250000000000004</v>
      </c>
      <c r="J70">
        <v>175.89699999999999</v>
      </c>
      <c r="K70">
        <v>0</v>
      </c>
      <c r="L70">
        <v>0.29899999999999999</v>
      </c>
      <c r="M70">
        <v>-23.035</v>
      </c>
      <c r="N70">
        <v>873.69299999999998</v>
      </c>
      <c r="O70">
        <v>882</v>
      </c>
      <c r="P70">
        <v>44.616</v>
      </c>
      <c r="Q70">
        <v>521.18200000000002</v>
      </c>
      <c r="R70">
        <v>1002.273</v>
      </c>
      <c r="S70">
        <v>1122.184</v>
      </c>
      <c r="T70">
        <v>1122.5450000000001</v>
      </c>
      <c r="U70">
        <v>26.754999999999999</v>
      </c>
      <c r="V70">
        <v>1082.4549999999999</v>
      </c>
      <c r="W70">
        <v>1242.818</v>
      </c>
      <c r="X70">
        <v>2373.6709999999998</v>
      </c>
      <c r="Y70">
        <v>2365.364</v>
      </c>
      <c r="Z70">
        <v>145.97</v>
      </c>
      <c r="AA70">
        <v>2205</v>
      </c>
      <c r="AB70">
        <v>3447.8180000000002</v>
      </c>
      <c r="AC70">
        <v>2.8</v>
      </c>
      <c r="AD70">
        <v>179.44200000000001</v>
      </c>
      <c r="AE70">
        <v>179.68600000000001</v>
      </c>
      <c r="AF70">
        <v>2.31</v>
      </c>
      <c r="AG70">
        <v>159.37</v>
      </c>
      <c r="AH70">
        <v>0</v>
      </c>
      <c r="AI70">
        <v>183.20500000000001</v>
      </c>
      <c r="AJ70">
        <v>9.5238095238095247E-3</v>
      </c>
      <c r="AK70">
        <v>0.52500000000000002</v>
      </c>
      <c r="AL70">
        <v>-28.047000000000001</v>
      </c>
      <c r="AM70">
        <v>346.06099999999998</v>
      </c>
      <c r="AN70">
        <v>342.85700000000003</v>
      </c>
      <c r="AO70">
        <v>12.763999999999999</v>
      </c>
      <c r="AP70">
        <v>300</v>
      </c>
      <c r="AQ70">
        <v>385.714</v>
      </c>
      <c r="AW70">
        <v>3329.64</v>
      </c>
      <c r="AX70">
        <v>3342.857</v>
      </c>
      <c r="AY70">
        <v>64.328999999999994</v>
      </c>
      <c r="AZ70">
        <v>3085.7139999999999</v>
      </c>
      <c r="BA70">
        <v>3471.4290000000001</v>
      </c>
      <c r="BB70">
        <v>2.52</v>
      </c>
      <c r="BC70">
        <v>177.62899999999999</v>
      </c>
      <c r="BD70">
        <v>177.92500000000001</v>
      </c>
      <c r="BE70">
        <v>1.431</v>
      </c>
      <c r="BF70">
        <v>169.709</v>
      </c>
      <c r="BG70">
        <v>0.998046875</v>
      </c>
      <c r="BH70">
        <v>180.738</v>
      </c>
      <c r="BI70">
        <v>0.11874999999999999</v>
      </c>
      <c r="BJ70">
        <v>0.33300000000000002</v>
      </c>
      <c r="BK70">
        <v>-29.783999999999999</v>
      </c>
      <c r="BL70">
        <v>384.267</v>
      </c>
      <c r="BM70">
        <v>383.47800000000001</v>
      </c>
      <c r="BN70">
        <v>10.058999999999999</v>
      </c>
      <c r="BO70">
        <v>340.87</v>
      </c>
      <c r="BP70">
        <v>426.08699999999999</v>
      </c>
      <c r="BQ70">
        <v>1007.86</v>
      </c>
      <c r="BR70">
        <v>980</v>
      </c>
      <c r="BS70">
        <v>81.686000000000007</v>
      </c>
      <c r="BT70">
        <v>980</v>
      </c>
      <c r="BU70">
        <v>1363.4780000000001</v>
      </c>
      <c r="BV70">
        <v>3203.5430000000001</v>
      </c>
      <c r="BW70">
        <v>3195.652</v>
      </c>
      <c r="BX70">
        <v>176.898</v>
      </c>
      <c r="BY70">
        <v>2599.13</v>
      </c>
      <c r="BZ70">
        <v>3536.5219999999999</v>
      </c>
      <c r="CA70">
        <v>2.56</v>
      </c>
      <c r="CB70">
        <v>4</v>
      </c>
      <c r="CC70">
        <v>0</v>
      </c>
      <c r="CD70">
        <v>1</v>
      </c>
      <c r="CE70">
        <v>2</v>
      </c>
      <c r="CF70">
        <v>0</v>
      </c>
    </row>
    <row r="71" spans="1:84" x14ac:dyDescent="0.35">
      <c r="A71" t="s">
        <v>104</v>
      </c>
      <c r="B71" t="str">
        <f t="shared" si="4"/>
        <v xml:space="preserve"> gi_ga_2001_03_16_540</v>
      </c>
      <c r="C71" s="1">
        <f t="shared" si="5"/>
        <v>45749</v>
      </c>
      <c r="D71" t="s">
        <v>78</v>
      </c>
      <c r="E71">
        <v>184.61099999999999</v>
      </c>
      <c r="F71">
        <v>183.36799999999999</v>
      </c>
      <c r="G71">
        <v>3.3119999999999998</v>
      </c>
      <c r="H71">
        <v>181.05600000000001</v>
      </c>
      <c r="I71">
        <v>0.19480519480519479</v>
      </c>
      <c r="J71">
        <v>197.126</v>
      </c>
      <c r="K71">
        <v>1.4935064935064935E-2</v>
      </c>
      <c r="L71">
        <v>0.56200000000000006</v>
      </c>
      <c r="M71">
        <v>-23.138999999999999</v>
      </c>
      <c r="N71">
        <v>525.49</v>
      </c>
      <c r="O71">
        <v>527.61699999999996</v>
      </c>
      <c r="P71">
        <v>64.397000000000006</v>
      </c>
      <c r="Q71">
        <v>395.71300000000002</v>
      </c>
      <c r="R71">
        <v>879.36199999999997</v>
      </c>
      <c r="S71">
        <v>1221.114</v>
      </c>
      <c r="T71">
        <v>1231.107</v>
      </c>
      <c r="U71">
        <v>74.694000000000003</v>
      </c>
      <c r="V71">
        <v>1055.2339999999999</v>
      </c>
      <c r="W71">
        <v>1406.979</v>
      </c>
      <c r="X71">
        <v>2683.386</v>
      </c>
      <c r="Y71">
        <v>2682.0540000000001</v>
      </c>
      <c r="Z71">
        <v>111.49</v>
      </c>
      <c r="AA71">
        <v>2462.2130000000002</v>
      </c>
      <c r="AB71">
        <v>3121.7350000000001</v>
      </c>
      <c r="AC71">
        <v>1.54</v>
      </c>
      <c r="AD71">
        <v>188.208</v>
      </c>
      <c r="AE71">
        <v>188.00200000000001</v>
      </c>
      <c r="AF71">
        <v>2.0539999999999998</v>
      </c>
      <c r="AG71">
        <v>185.74</v>
      </c>
      <c r="AH71">
        <v>0.53037974683544298</v>
      </c>
      <c r="AI71">
        <v>196</v>
      </c>
      <c r="AJ71">
        <v>0</v>
      </c>
      <c r="AK71">
        <v>0.39400000000000002</v>
      </c>
      <c r="AL71">
        <v>-27.677</v>
      </c>
      <c r="AM71">
        <v>358.173</v>
      </c>
      <c r="AN71">
        <v>358.173</v>
      </c>
      <c r="AO71">
        <v>7794</v>
      </c>
      <c r="AP71">
        <v>313.40100000000001</v>
      </c>
      <c r="AQ71">
        <v>402.94400000000002</v>
      </c>
      <c r="AR71">
        <v>2208.7310000000002</v>
      </c>
      <c r="AS71">
        <v>2283.35</v>
      </c>
      <c r="AT71">
        <v>341.75299999999999</v>
      </c>
      <c r="AU71">
        <v>1611.777</v>
      </c>
      <c r="AV71">
        <v>2507.2080000000001</v>
      </c>
      <c r="AW71">
        <v>3231.989</v>
      </c>
      <c r="AX71">
        <v>3268.3249999999998</v>
      </c>
      <c r="AY71">
        <v>170.53299999999999</v>
      </c>
      <c r="AZ71">
        <v>2775.8380000000002</v>
      </c>
      <c r="BA71">
        <v>3536.9540000000002</v>
      </c>
      <c r="BB71">
        <v>1.58</v>
      </c>
      <c r="BC71">
        <v>188.83199999999999</v>
      </c>
      <c r="BD71">
        <v>187.66</v>
      </c>
      <c r="BE71">
        <v>5.6260000000000003</v>
      </c>
      <c r="BF71">
        <v>183.75</v>
      </c>
      <c r="BG71">
        <v>0.49437500000000001</v>
      </c>
      <c r="BH71">
        <v>225</v>
      </c>
      <c r="BI71">
        <v>0</v>
      </c>
      <c r="BJ71">
        <v>0.58599999999999997</v>
      </c>
      <c r="BK71">
        <v>-27.914999999999999</v>
      </c>
      <c r="BL71">
        <v>363.96600000000001</v>
      </c>
      <c r="BM71">
        <v>358.90100000000001</v>
      </c>
      <c r="BN71">
        <v>29.407</v>
      </c>
      <c r="BO71">
        <v>314.03899999999999</v>
      </c>
      <c r="BP71">
        <v>538.35199999999998</v>
      </c>
      <c r="BQ71">
        <v>989.92</v>
      </c>
      <c r="BR71">
        <v>986.97900000000004</v>
      </c>
      <c r="BS71">
        <v>109.545</v>
      </c>
      <c r="BT71">
        <v>942.11599999999999</v>
      </c>
      <c r="BU71">
        <v>1570.193</v>
      </c>
      <c r="BV71">
        <v>3344.8319999999999</v>
      </c>
      <c r="BW71">
        <v>3387.1309999999999</v>
      </c>
      <c r="BX71">
        <v>222.89599999999999</v>
      </c>
      <c r="BY71">
        <v>2646.8969999999999</v>
      </c>
      <c r="BZ71">
        <v>3678.739</v>
      </c>
      <c r="CA71">
        <v>1.6</v>
      </c>
      <c r="CB71">
        <v>4</v>
      </c>
      <c r="CC71">
        <v>0</v>
      </c>
      <c r="CD71">
        <v>0</v>
      </c>
      <c r="CE71">
        <v>1</v>
      </c>
      <c r="CF71">
        <v>1</v>
      </c>
    </row>
    <row r="72" spans="1:84" x14ac:dyDescent="0.35">
      <c r="A72" t="s">
        <v>140</v>
      </c>
      <c r="B72" t="str">
        <f t="shared" si="4"/>
        <v xml:space="preserve"> gi_la_2005_03_15_562</v>
      </c>
      <c r="C72" s="1">
        <f t="shared" si="5"/>
        <v>45751</v>
      </c>
      <c r="D72" t="s">
        <v>78</v>
      </c>
      <c r="E72">
        <v>183.77699999999999</v>
      </c>
      <c r="F72">
        <v>180.315</v>
      </c>
      <c r="G72">
        <v>19.707999999999998</v>
      </c>
      <c r="H72">
        <v>174.30799999999999</v>
      </c>
      <c r="I72">
        <v>7.6415094339622638E-2</v>
      </c>
      <c r="J72">
        <v>297.97300000000001</v>
      </c>
      <c r="K72">
        <v>2.1698113207547168E-2</v>
      </c>
      <c r="L72">
        <v>0.99199999999999999</v>
      </c>
      <c r="M72">
        <v>-26.332999999999998</v>
      </c>
      <c r="N72">
        <v>637.04600000000005</v>
      </c>
      <c r="O72">
        <v>654.303</v>
      </c>
      <c r="P72">
        <v>52.777999999999999</v>
      </c>
      <c r="Q72">
        <v>523.44200000000001</v>
      </c>
      <c r="R72">
        <v>916.024</v>
      </c>
      <c r="S72">
        <v>1204.0160000000001</v>
      </c>
      <c r="T72">
        <v>1221.365</v>
      </c>
      <c r="U72">
        <v>70.471999999999994</v>
      </c>
      <c r="V72">
        <v>1046.884</v>
      </c>
      <c r="W72">
        <v>1526.7059999999999</v>
      </c>
      <c r="X72">
        <v>3643.4830000000002</v>
      </c>
      <c r="Y72">
        <v>3664.0949999999998</v>
      </c>
      <c r="Z72">
        <v>255.86699999999999</v>
      </c>
      <c r="AA72">
        <v>2791.6909999999998</v>
      </c>
      <c r="AB72">
        <v>4143.9170000000004</v>
      </c>
      <c r="AC72">
        <v>2.12</v>
      </c>
      <c r="AD72">
        <v>184.21799999999999</v>
      </c>
      <c r="AE72">
        <v>183.422</v>
      </c>
      <c r="AF72">
        <v>5.96</v>
      </c>
      <c r="AG72">
        <v>175.398</v>
      </c>
      <c r="AH72">
        <v>5.8080808080808087E-2</v>
      </c>
      <c r="AI72">
        <v>226.48599999999999</v>
      </c>
      <c r="AJ72">
        <v>0</v>
      </c>
      <c r="AK72">
        <v>0.61199999999999999</v>
      </c>
      <c r="AL72">
        <v>-29.364999999999998</v>
      </c>
      <c r="AM72">
        <v>352.19600000000003</v>
      </c>
      <c r="AN72">
        <v>352.8</v>
      </c>
      <c r="AO72">
        <v>5162</v>
      </c>
      <c r="AP72">
        <v>308.7</v>
      </c>
      <c r="AQ72">
        <v>352.8</v>
      </c>
      <c r="AR72">
        <v>2390.0279999999998</v>
      </c>
      <c r="AS72">
        <v>2403.4499999999998</v>
      </c>
      <c r="AT72">
        <v>110.248</v>
      </c>
      <c r="AU72">
        <v>1984.5</v>
      </c>
      <c r="AV72">
        <v>2646</v>
      </c>
      <c r="AW72">
        <v>4257.1880000000001</v>
      </c>
      <c r="AX72">
        <v>4321.8</v>
      </c>
      <c r="AY72">
        <v>179.702</v>
      </c>
      <c r="AZ72">
        <v>3395.7</v>
      </c>
      <c r="BA72">
        <v>4498.2</v>
      </c>
      <c r="BB72">
        <v>1.98</v>
      </c>
      <c r="BC72">
        <v>186.12299999999999</v>
      </c>
      <c r="BD72">
        <v>184.51900000000001</v>
      </c>
      <c r="BE72">
        <v>11.587</v>
      </c>
      <c r="BF72">
        <v>174.30799999999999</v>
      </c>
      <c r="BG72">
        <v>0.98520408163265305</v>
      </c>
      <c r="BH72">
        <v>274.39999999999998</v>
      </c>
      <c r="BI72">
        <v>1.1734693877551021E-2</v>
      </c>
      <c r="BJ72">
        <v>1.0880000000000001</v>
      </c>
      <c r="BK72">
        <v>-28.786000000000001</v>
      </c>
      <c r="BL72">
        <v>368.315</v>
      </c>
      <c r="BM72">
        <v>356.36399999999998</v>
      </c>
      <c r="BN72">
        <v>61.040999999999997</v>
      </c>
      <c r="BO72">
        <v>356.36399999999998</v>
      </c>
      <c r="BP72">
        <v>846.36400000000003</v>
      </c>
      <c r="BQ72">
        <v>1318.374</v>
      </c>
      <c r="BR72">
        <v>1336.364</v>
      </c>
      <c r="BS72">
        <v>146.08799999999999</v>
      </c>
      <c r="BT72">
        <v>935.45500000000004</v>
      </c>
      <c r="BU72">
        <v>1692.7270000000001</v>
      </c>
      <c r="BV72">
        <v>3623.203</v>
      </c>
      <c r="BW72">
        <v>3652.7269999999999</v>
      </c>
      <c r="BX72">
        <v>193.21799999999999</v>
      </c>
      <c r="BY72">
        <v>3029.0909999999999</v>
      </c>
      <c r="BZ72">
        <v>4098.1819999999998</v>
      </c>
      <c r="CA72">
        <v>1.96</v>
      </c>
      <c r="CB72">
        <v>5</v>
      </c>
      <c r="CC72">
        <v>3</v>
      </c>
      <c r="CD72">
        <v>0</v>
      </c>
      <c r="CE72">
        <v>2</v>
      </c>
      <c r="CF72">
        <v>2</v>
      </c>
    </row>
    <row r="73" spans="1:84" x14ac:dyDescent="0.35">
      <c r="A73" t="s">
        <v>122</v>
      </c>
      <c r="B73" t="str">
        <f t="shared" si="4"/>
        <v xml:space="preserve"> gi_lo_2004_06_27_237</v>
      </c>
      <c r="C73" s="1">
        <f t="shared" si="5"/>
        <v>45750</v>
      </c>
      <c r="D73" t="s">
        <v>78</v>
      </c>
      <c r="E73">
        <v>226.74700000000001</v>
      </c>
      <c r="F73">
        <v>214.38499999999999</v>
      </c>
      <c r="G73">
        <v>38.241</v>
      </c>
      <c r="H73">
        <v>196.249</v>
      </c>
      <c r="I73">
        <v>0.18846153846153846</v>
      </c>
      <c r="J73">
        <v>332.65100000000001</v>
      </c>
      <c r="K73">
        <v>0</v>
      </c>
      <c r="L73">
        <v>2.91</v>
      </c>
      <c r="M73">
        <v>-22.149000000000001</v>
      </c>
      <c r="N73">
        <v>801.93</v>
      </c>
      <c r="O73">
        <v>879.86699999999996</v>
      </c>
      <c r="P73">
        <v>187.46299999999999</v>
      </c>
      <c r="Q73">
        <v>426.60199999999998</v>
      </c>
      <c r="R73">
        <v>1013.18</v>
      </c>
      <c r="S73">
        <v>1271.6030000000001</v>
      </c>
      <c r="T73">
        <v>1226.481</v>
      </c>
      <c r="U73">
        <v>169.096</v>
      </c>
      <c r="V73">
        <v>1119.8309999999999</v>
      </c>
      <c r="W73">
        <v>1919.71</v>
      </c>
      <c r="X73">
        <v>2791.373</v>
      </c>
      <c r="Y73">
        <v>2746.252</v>
      </c>
      <c r="Z73">
        <v>276.44600000000003</v>
      </c>
      <c r="AA73">
        <v>2399.6370000000002</v>
      </c>
      <c r="AB73">
        <v>3306.1669999999999</v>
      </c>
      <c r="AC73">
        <v>0.52</v>
      </c>
      <c r="AD73">
        <v>214.21299999999999</v>
      </c>
      <c r="AE73">
        <v>212.60300000000001</v>
      </c>
      <c r="AF73">
        <v>6.8959999999999999</v>
      </c>
      <c r="AG73">
        <v>206.21199999999999</v>
      </c>
      <c r="AH73">
        <v>4.5454545454545456E-2</v>
      </c>
      <c r="AI73">
        <v>238.37799999999999</v>
      </c>
      <c r="AJ73">
        <v>0</v>
      </c>
      <c r="AK73">
        <v>1.494</v>
      </c>
      <c r="AL73">
        <v>-28.939</v>
      </c>
      <c r="AM73">
        <v>358.95299999999997</v>
      </c>
      <c r="AN73">
        <v>358.95299999999997</v>
      </c>
      <c r="AO73">
        <v>28.087</v>
      </c>
      <c r="AP73">
        <v>307.67399999999998</v>
      </c>
      <c r="AQ73">
        <v>461.512</v>
      </c>
      <c r="AR73">
        <v>1712.721</v>
      </c>
      <c r="AS73">
        <v>1666.57</v>
      </c>
      <c r="AT73">
        <v>141.36699999999999</v>
      </c>
      <c r="AU73">
        <v>1538.3720000000001</v>
      </c>
      <c r="AV73">
        <v>1948.605</v>
      </c>
      <c r="AW73">
        <v>3479.6509999999998</v>
      </c>
      <c r="AX73">
        <v>3486.9769999999999</v>
      </c>
      <c r="AY73">
        <v>170.29400000000001</v>
      </c>
      <c r="AZ73">
        <v>3179.3020000000001</v>
      </c>
      <c r="BA73">
        <v>3743.3719999999998</v>
      </c>
      <c r="BB73">
        <v>0.44</v>
      </c>
      <c r="BC73">
        <v>190.511</v>
      </c>
      <c r="BD73">
        <v>187.09100000000001</v>
      </c>
      <c r="BE73">
        <v>13.984999999999999</v>
      </c>
      <c r="BF73">
        <v>174.60400000000001</v>
      </c>
      <c r="BG73">
        <v>0.97619047619047616</v>
      </c>
      <c r="BH73">
        <v>218.78100000000001</v>
      </c>
      <c r="BI73">
        <v>4.7619047619047623E-2</v>
      </c>
      <c r="BJ73">
        <v>1.968</v>
      </c>
      <c r="BK73">
        <v>-24.106000000000002</v>
      </c>
      <c r="BL73">
        <v>387.38200000000001</v>
      </c>
      <c r="BM73">
        <v>369.42399999999998</v>
      </c>
      <c r="BN73">
        <v>23.164000000000001</v>
      </c>
      <c r="BO73">
        <v>369.42399999999998</v>
      </c>
      <c r="BP73">
        <v>415.60199999999998</v>
      </c>
      <c r="BQ73">
        <v>1034.3869999999999</v>
      </c>
      <c r="BR73">
        <v>1015.9160000000001</v>
      </c>
      <c r="BS73">
        <v>52.651000000000003</v>
      </c>
      <c r="BT73">
        <v>969.73800000000006</v>
      </c>
      <c r="BU73">
        <v>1108.2719999999999</v>
      </c>
      <c r="BV73">
        <v>3347.9059999999999</v>
      </c>
      <c r="BW73">
        <v>3324.817</v>
      </c>
      <c r="BX73">
        <v>332.71199999999999</v>
      </c>
      <c r="BY73">
        <v>2863.0369999999998</v>
      </c>
      <c r="BZ73">
        <v>3971.3090000000002</v>
      </c>
      <c r="CA73">
        <v>0.42</v>
      </c>
    </row>
    <row r="74" spans="1:84" x14ac:dyDescent="0.35">
      <c r="A74" t="s">
        <v>187</v>
      </c>
      <c r="B74" t="str">
        <f t="shared" si="4"/>
        <v xml:space="preserve"> gi_ma_2004_01_10_447</v>
      </c>
      <c r="C74" s="1">
        <f t="shared" si="5"/>
        <v>45753</v>
      </c>
      <c r="D74" t="s">
        <v>78</v>
      </c>
      <c r="E74">
        <v>203.965</v>
      </c>
      <c r="F74">
        <v>200.78100000000001</v>
      </c>
      <c r="G74">
        <v>13.454000000000001</v>
      </c>
      <c r="H74">
        <v>196.75</v>
      </c>
      <c r="I74">
        <v>0.49736842105263157</v>
      </c>
      <c r="J74">
        <v>285.83300000000003</v>
      </c>
      <c r="K74">
        <v>1.3157894736842105E-2</v>
      </c>
      <c r="L74">
        <v>1.089</v>
      </c>
      <c r="M74">
        <v>-26.178000000000001</v>
      </c>
      <c r="N74">
        <v>815.00400000000002</v>
      </c>
      <c r="O74">
        <v>844.25699999999995</v>
      </c>
      <c r="P74">
        <v>69.662999999999997</v>
      </c>
      <c r="Q74">
        <v>397.29700000000003</v>
      </c>
      <c r="R74">
        <v>893.91899999999998</v>
      </c>
      <c r="S74">
        <v>1234.6569999999999</v>
      </c>
      <c r="T74">
        <v>1241.5540000000001</v>
      </c>
      <c r="U74">
        <v>50.222000000000001</v>
      </c>
      <c r="V74">
        <v>1092.568</v>
      </c>
      <c r="W74">
        <v>1390.5409999999999</v>
      </c>
      <c r="X74">
        <v>3001.8760000000002</v>
      </c>
      <c r="Y74">
        <v>2979.73</v>
      </c>
      <c r="Z74">
        <v>205.691</v>
      </c>
      <c r="AA74">
        <v>2781.0810000000001</v>
      </c>
      <c r="AB74">
        <v>4519.2569999999996</v>
      </c>
      <c r="AC74">
        <v>1.52</v>
      </c>
      <c r="AD74">
        <v>235.03899999999999</v>
      </c>
      <c r="AE74">
        <v>232.63</v>
      </c>
      <c r="AF74">
        <v>6.2089999999999996</v>
      </c>
      <c r="AG74">
        <v>228.16</v>
      </c>
      <c r="AH74">
        <v>0.9485507246376812</v>
      </c>
      <c r="AI74">
        <v>251.38399999999999</v>
      </c>
      <c r="AJ74">
        <v>0</v>
      </c>
      <c r="AK74">
        <v>0.38400000000000001</v>
      </c>
      <c r="AL74">
        <v>-32.972000000000001</v>
      </c>
      <c r="AM74">
        <v>267.27300000000002</v>
      </c>
      <c r="AN74">
        <v>286.36399999999998</v>
      </c>
      <c r="AO74">
        <v>33.066000000000003</v>
      </c>
      <c r="AP74">
        <v>229.09100000000001</v>
      </c>
      <c r="AQ74">
        <v>286.36399999999998</v>
      </c>
      <c r="AR74">
        <v>2442.873</v>
      </c>
      <c r="AS74">
        <v>2462.7269999999999</v>
      </c>
      <c r="AT74">
        <v>76.778000000000006</v>
      </c>
      <c r="AU74">
        <v>2061.8180000000002</v>
      </c>
      <c r="AV74">
        <v>2520</v>
      </c>
      <c r="AW74">
        <v>3151.4879999999998</v>
      </c>
      <c r="AX74">
        <v>3150</v>
      </c>
      <c r="AY74">
        <v>159.56899999999999</v>
      </c>
      <c r="AZ74">
        <v>2806.364</v>
      </c>
      <c r="BA74">
        <v>3493.636</v>
      </c>
      <c r="BB74">
        <v>1.38</v>
      </c>
      <c r="BC74">
        <v>229.67</v>
      </c>
      <c r="BD74">
        <v>226.73599999999999</v>
      </c>
      <c r="BE74">
        <v>8.0109999999999992</v>
      </c>
      <c r="BF74">
        <v>222.56700000000001</v>
      </c>
      <c r="BG74">
        <v>0.73611111111111116</v>
      </c>
      <c r="BH74">
        <v>259.84800000000001</v>
      </c>
      <c r="BI74">
        <v>1.2499999999999999E-2</v>
      </c>
      <c r="BJ74">
        <v>0.56299999999999994</v>
      </c>
      <c r="BK74">
        <v>-29.03</v>
      </c>
      <c r="BL74">
        <v>390.435</v>
      </c>
      <c r="BM74">
        <v>388.30200000000002</v>
      </c>
      <c r="BN74">
        <v>22.690999999999999</v>
      </c>
      <c r="BO74">
        <v>332.83</v>
      </c>
      <c r="BP74">
        <v>499.245</v>
      </c>
      <c r="BQ74">
        <v>1172.83</v>
      </c>
      <c r="BR74">
        <v>1164.9059999999999</v>
      </c>
      <c r="BS74">
        <v>112.691</v>
      </c>
      <c r="BT74">
        <v>1053.962</v>
      </c>
      <c r="BU74">
        <v>1553.2080000000001</v>
      </c>
      <c r="BV74">
        <v>3124.194</v>
      </c>
      <c r="BW74">
        <v>3106.415</v>
      </c>
      <c r="BX74">
        <v>119.77500000000001</v>
      </c>
      <c r="BY74">
        <v>2773.585</v>
      </c>
      <c r="BZ74">
        <v>3439.2449999999999</v>
      </c>
      <c r="CA74">
        <v>1.44</v>
      </c>
      <c r="CB74">
        <v>8</v>
      </c>
      <c r="CC74">
        <v>3</v>
      </c>
      <c r="CD74">
        <v>2</v>
      </c>
      <c r="CE74">
        <v>7</v>
      </c>
      <c r="CF74">
        <v>4</v>
      </c>
    </row>
    <row r="75" spans="1:84" x14ac:dyDescent="0.35">
      <c r="A75" t="s">
        <v>141</v>
      </c>
      <c r="B75" t="str">
        <f t="shared" si="4"/>
        <v xml:space="preserve"> gi_ma_2006_01_06_210</v>
      </c>
      <c r="C75" s="1">
        <f t="shared" si="5"/>
        <v>45751</v>
      </c>
      <c r="D75" t="s">
        <v>78</v>
      </c>
      <c r="E75">
        <v>167.136</v>
      </c>
      <c r="F75">
        <v>165.96799999999999</v>
      </c>
      <c r="G75">
        <v>7.0979999999999999</v>
      </c>
      <c r="H75">
        <v>155.83000000000001</v>
      </c>
      <c r="I75">
        <v>1</v>
      </c>
      <c r="J75">
        <v>227.655</v>
      </c>
      <c r="K75">
        <v>8.4745762711864406E-3</v>
      </c>
      <c r="L75">
        <v>0.79800000000000004</v>
      </c>
      <c r="M75">
        <v>-24.965</v>
      </c>
      <c r="N75">
        <v>322.62099999999998</v>
      </c>
      <c r="O75">
        <v>321.31099999999998</v>
      </c>
      <c r="P75">
        <v>7173</v>
      </c>
      <c r="Q75">
        <v>321.31099999999998</v>
      </c>
      <c r="R75">
        <v>361.47500000000002</v>
      </c>
      <c r="S75">
        <v>2615.62</v>
      </c>
      <c r="T75">
        <v>2610.6559999999999</v>
      </c>
      <c r="U75">
        <v>29.552</v>
      </c>
      <c r="V75">
        <v>2530.328</v>
      </c>
      <c r="W75">
        <v>2650.82</v>
      </c>
      <c r="X75">
        <v>3028.5320000000002</v>
      </c>
      <c r="Y75">
        <v>3012.2950000000001</v>
      </c>
      <c r="Z75">
        <v>144.911</v>
      </c>
      <c r="AA75">
        <v>2731.1480000000001</v>
      </c>
      <c r="AB75">
        <v>3494.2620000000002</v>
      </c>
      <c r="AC75">
        <v>2.36</v>
      </c>
      <c r="AD75">
        <v>219.15299999999999</v>
      </c>
      <c r="AE75">
        <v>163.41999999999999</v>
      </c>
      <c r="AF75">
        <v>75.087000000000003</v>
      </c>
      <c r="AG75">
        <v>155.673</v>
      </c>
      <c r="AH75">
        <v>0.42521008403361349</v>
      </c>
      <c r="AI75">
        <v>331.57900000000001</v>
      </c>
      <c r="AJ75">
        <v>0.80294117647058827</v>
      </c>
      <c r="AK75">
        <v>5.742</v>
      </c>
      <c r="AL75">
        <v>-19.478999999999999</v>
      </c>
      <c r="AM75">
        <v>323.077</v>
      </c>
      <c r="AN75">
        <v>323.077</v>
      </c>
      <c r="AO75">
        <v>6866</v>
      </c>
      <c r="AP75">
        <v>269.23099999999999</v>
      </c>
      <c r="AQ75">
        <v>376.923</v>
      </c>
      <c r="AR75">
        <v>2570.4</v>
      </c>
      <c r="AS75">
        <v>2584.6149999999998</v>
      </c>
      <c r="AT75">
        <v>84.35</v>
      </c>
      <c r="AU75">
        <v>1776.923</v>
      </c>
      <c r="AV75">
        <v>2638.462</v>
      </c>
      <c r="AW75">
        <v>3015.3850000000002</v>
      </c>
      <c r="AX75">
        <v>3015.3850000000002</v>
      </c>
      <c r="AY75">
        <v>175.46799999999999</v>
      </c>
      <c r="AZ75">
        <v>2638.462</v>
      </c>
      <c r="BA75">
        <v>3607.692</v>
      </c>
      <c r="BB75">
        <v>2.38</v>
      </c>
      <c r="BC75">
        <v>172.95599999999999</v>
      </c>
      <c r="BD75">
        <v>158.267</v>
      </c>
      <c r="BE75">
        <v>42.988</v>
      </c>
      <c r="BF75">
        <v>150.58500000000001</v>
      </c>
      <c r="BG75">
        <v>0.9839449541284403</v>
      </c>
      <c r="BH75">
        <v>322.90800000000002</v>
      </c>
      <c r="BI75">
        <v>0.29633027522935779</v>
      </c>
      <c r="BJ75">
        <v>3.2770000000000001</v>
      </c>
      <c r="BK75">
        <v>-23.608000000000001</v>
      </c>
      <c r="BL75">
        <v>313.45800000000003</v>
      </c>
      <c r="BM75">
        <v>306.85899999999998</v>
      </c>
      <c r="BN75">
        <v>15.760999999999999</v>
      </c>
      <c r="BO75">
        <v>306.85899999999998</v>
      </c>
      <c r="BP75">
        <v>350.69600000000003</v>
      </c>
      <c r="BQ75">
        <v>2367.1970000000001</v>
      </c>
      <c r="BR75">
        <v>2411.0340000000001</v>
      </c>
      <c r="BS75">
        <v>152.80500000000001</v>
      </c>
      <c r="BT75">
        <v>1972.664</v>
      </c>
      <c r="BU75">
        <v>2586.3820000000001</v>
      </c>
      <c r="BV75">
        <v>3160.46</v>
      </c>
      <c r="BW75">
        <v>3134.3440000000001</v>
      </c>
      <c r="BX75">
        <v>230.09100000000001</v>
      </c>
      <c r="BY75">
        <v>2674.056</v>
      </c>
      <c r="BZ75">
        <v>3813.817</v>
      </c>
      <c r="CA75">
        <v>2.1800000000000002</v>
      </c>
      <c r="CB75">
        <v>4</v>
      </c>
      <c r="CC75">
        <v>3</v>
      </c>
      <c r="CD75">
        <v>3</v>
      </c>
      <c r="CE75">
        <v>4</v>
      </c>
      <c r="CF75">
        <v>4</v>
      </c>
    </row>
    <row r="76" spans="1:84" x14ac:dyDescent="0.35">
      <c r="A76" t="s">
        <v>123</v>
      </c>
      <c r="B76" t="str">
        <f t="shared" si="4"/>
        <v xml:space="preserve"> gi_me_2005_07_26_290</v>
      </c>
      <c r="C76" s="1">
        <f t="shared" si="5"/>
        <v>45750</v>
      </c>
      <c r="D76" t="s">
        <v>78</v>
      </c>
      <c r="E76">
        <v>203.02199999999999</v>
      </c>
      <c r="F76">
        <v>202.42599999999999</v>
      </c>
      <c r="G76">
        <v>5.1959999999999997</v>
      </c>
      <c r="H76">
        <v>177.108</v>
      </c>
      <c r="I76">
        <v>0</v>
      </c>
      <c r="J76">
        <v>215.874</v>
      </c>
      <c r="K76">
        <v>4.2783505154639176E-2</v>
      </c>
      <c r="L76">
        <v>0.754</v>
      </c>
      <c r="M76">
        <v>-20.332999999999998</v>
      </c>
      <c r="N76">
        <v>1012.241</v>
      </c>
      <c r="O76">
        <v>1022.1849999999999</v>
      </c>
      <c r="P76">
        <v>22.189</v>
      </c>
      <c r="Q76">
        <v>924.83399999999995</v>
      </c>
      <c r="R76">
        <v>1022.1849999999999</v>
      </c>
      <c r="S76">
        <v>1109.5920000000001</v>
      </c>
      <c r="T76">
        <v>1119.5360000000001</v>
      </c>
      <c r="U76">
        <v>69.046000000000006</v>
      </c>
      <c r="V76">
        <v>1070.8610000000001</v>
      </c>
      <c r="W76">
        <v>1703.6420000000001</v>
      </c>
      <c r="X76">
        <v>2727.9209999999998</v>
      </c>
      <c r="Y76">
        <v>2725.828</v>
      </c>
      <c r="Z76">
        <v>101.21899999999999</v>
      </c>
      <c r="AA76">
        <v>2482.4499999999998</v>
      </c>
      <c r="AB76">
        <v>3066.556</v>
      </c>
      <c r="AC76">
        <v>1.94</v>
      </c>
      <c r="AD76">
        <v>212.47</v>
      </c>
      <c r="AE76">
        <v>212.75</v>
      </c>
      <c r="AF76">
        <v>2.2799999999999998</v>
      </c>
      <c r="AG76">
        <v>199.161</v>
      </c>
      <c r="AH76">
        <v>0.98362831858407085</v>
      </c>
      <c r="AI76">
        <v>216.02500000000001</v>
      </c>
      <c r="AJ76">
        <v>0.74867256637168145</v>
      </c>
      <c r="AK76">
        <v>0.34300000000000003</v>
      </c>
      <c r="AL76">
        <v>-29.134</v>
      </c>
      <c r="AM76">
        <v>357.60399999999998</v>
      </c>
      <c r="AN76">
        <v>358.95299999999997</v>
      </c>
      <c r="AO76">
        <v>8245</v>
      </c>
      <c r="AP76">
        <v>307.67399999999998</v>
      </c>
      <c r="AQ76">
        <v>358.95299999999997</v>
      </c>
      <c r="AW76">
        <v>3456.3890000000001</v>
      </c>
      <c r="AX76">
        <v>3435.6979999999999</v>
      </c>
      <c r="AY76">
        <v>226.64500000000001</v>
      </c>
      <c r="AZ76">
        <v>3025.4650000000001</v>
      </c>
      <c r="BA76">
        <v>3948.4879999999998</v>
      </c>
      <c r="BB76">
        <v>2.2599999999999998</v>
      </c>
      <c r="BC76">
        <v>225.49700000000001</v>
      </c>
      <c r="BD76">
        <v>225.328</v>
      </c>
      <c r="BE76">
        <v>3.0579999999999998</v>
      </c>
      <c r="BF76">
        <v>205.38900000000001</v>
      </c>
      <c r="BG76">
        <v>0</v>
      </c>
      <c r="BH76">
        <v>239.67400000000001</v>
      </c>
      <c r="BI76">
        <v>0.98843537414965998</v>
      </c>
      <c r="BJ76">
        <v>0.443</v>
      </c>
      <c r="BK76">
        <v>-29.02</v>
      </c>
      <c r="BL76">
        <v>484.86099999999999</v>
      </c>
      <c r="BM76">
        <v>492.43200000000002</v>
      </c>
      <c r="BN76">
        <v>27.856999999999999</v>
      </c>
      <c r="BO76">
        <v>383.00200000000001</v>
      </c>
      <c r="BP76">
        <v>547.14599999999996</v>
      </c>
      <c r="BQ76">
        <v>1066.9349999999999</v>
      </c>
      <c r="BR76">
        <v>1066.9349999999999</v>
      </c>
      <c r="BS76">
        <v>38.689</v>
      </c>
      <c r="BT76">
        <v>1039.578</v>
      </c>
      <c r="BU76">
        <v>1094.2929999999999</v>
      </c>
      <c r="BV76">
        <v>3974.8980000000001</v>
      </c>
      <c r="BW76">
        <v>3994.1689999999999</v>
      </c>
      <c r="BX76">
        <v>203.995</v>
      </c>
      <c r="BY76">
        <v>2845.1610000000001</v>
      </c>
      <c r="BZ76">
        <v>4267.7420000000002</v>
      </c>
      <c r="CA76">
        <v>2.94</v>
      </c>
      <c r="CB76">
        <v>6</v>
      </c>
      <c r="CC76">
        <v>2</v>
      </c>
      <c r="CD76">
        <v>0</v>
      </c>
      <c r="CE76">
        <v>3</v>
      </c>
      <c r="CF76">
        <v>1</v>
      </c>
    </row>
    <row r="77" spans="1:84" x14ac:dyDescent="0.35">
      <c r="A77" t="s">
        <v>105</v>
      </c>
      <c r="B77" t="str">
        <f t="shared" si="4"/>
        <v xml:space="preserve"> gi_mo_2000_12_02_831</v>
      </c>
      <c r="C77" s="1">
        <f t="shared" si="5"/>
        <v>45749</v>
      </c>
      <c r="D77" t="s">
        <v>78</v>
      </c>
      <c r="E77">
        <v>205.19800000000001</v>
      </c>
      <c r="F77">
        <v>204.98</v>
      </c>
      <c r="G77">
        <v>3.4620000000000002</v>
      </c>
      <c r="H77">
        <v>197.001</v>
      </c>
      <c r="I77">
        <v>0.99298780487804883</v>
      </c>
      <c r="J77">
        <v>242.30799999999999</v>
      </c>
      <c r="K77">
        <v>0</v>
      </c>
      <c r="L77">
        <v>0.46100000000000002</v>
      </c>
      <c r="M77">
        <v>-26.597999999999999</v>
      </c>
      <c r="N77">
        <v>589.89599999999996</v>
      </c>
      <c r="O77">
        <v>593.274</v>
      </c>
      <c r="P77">
        <v>84.757000000000005</v>
      </c>
      <c r="Q77">
        <v>444.95499999999998</v>
      </c>
      <c r="R77">
        <v>1038.229</v>
      </c>
      <c r="S77">
        <v>1145.7059999999999</v>
      </c>
      <c r="T77">
        <v>1137.1079999999999</v>
      </c>
      <c r="U77">
        <v>55.978999999999999</v>
      </c>
      <c r="V77">
        <v>1038.229</v>
      </c>
      <c r="W77">
        <v>1483.184</v>
      </c>
      <c r="X77">
        <v>2604.6309999999999</v>
      </c>
      <c r="Y77">
        <v>2620.2910000000002</v>
      </c>
      <c r="Z77">
        <v>174.56899999999999</v>
      </c>
      <c r="AA77">
        <v>2175.3359999999998</v>
      </c>
      <c r="AB77">
        <v>3065.2469999999998</v>
      </c>
      <c r="AC77">
        <v>3.28</v>
      </c>
      <c r="AD77">
        <v>210.12799999999999</v>
      </c>
      <c r="AE77">
        <v>209.857</v>
      </c>
      <c r="AF77">
        <v>1.7849999999999999</v>
      </c>
      <c r="AG77">
        <v>201.76499999999999</v>
      </c>
      <c r="AH77">
        <v>0.9887323943661972</v>
      </c>
      <c r="AI77">
        <v>221.92699999999999</v>
      </c>
      <c r="AJ77">
        <v>0</v>
      </c>
      <c r="AK77">
        <v>0.35</v>
      </c>
      <c r="AL77">
        <v>-30.172999999999998</v>
      </c>
      <c r="AM77">
        <v>311.48399999999998</v>
      </c>
      <c r="AN77">
        <v>305.54300000000001</v>
      </c>
      <c r="AO77">
        <v>47.231000000000002</v>
      </c>
      <c r="AP77">
        <v>305.54300000000001</v>
      </c>
      <c r="AQ77">
        <v>814.78099999999995</v>
      </c>
      <c r="AR77">
        <v>1552.14</v>
      </c>
      <c r="AS77">
        <v>1578.6369999999999</v>
      </c>
      <c r="AT77">
        <v>93.433999999999997</v>
      </c>
      <c r="AU77">
        <v>1374.942</v>
      </c>
      <c r="AV77">
        <v>1731.4090000000001</v>
      </c>
      <c r="AW77">
        <v>3430.0549999999998</v>
      </c>
      <c r="AX77">
        <v>3411.8939999999998</v>
      </c>
      <c r="AY77">
        <v>195.03</v>
      </c>
      <c r="AZ77">
        <v>2851.732</v>
      </c>
      <c r="BA77">
        <v>3921.1320000000001</v>
      </c>
      <c r="BB77">
        <v>2.84</v>
      </c>
      <c r="BC77">
        <v>210.119</v>
      </c>
      <c r="BD77">
        <v>209.857</v>
      </c>
      <c r="BE77">
        <v>1.8859999999999999</v>
      </c>
      <c r="BF77">
        <v>204.84399999999999</v>
      </c>
      <c r="BG77">
        <v>0.99878048780487805</v>
      </c>
      <c r="BH77">
        <v>223.37200000000001</v>
      </c>
      <c r="BI77">
        <v>6.0975609756097563E-3</v>
      </c>
      <c r="BJ77">
        <v>0.34100000000000003</v>
      </c>
      <c r="BK77">
        <v>-28.779</v>
      </c>
      <c r="BL77">
        <v>334.85899999999998</v>
      </c>
      <c r="BM77">
        <v>354.82799999999997</v>
      </c>
      <c r="BN77">
        <v>24.843</v>
      </c>
      <c r="BO77">
        <v>304.13799999999998</v>
      </c>
      <c r="BP77">
        <v>354.82799999999997</v>
      </c>
      <c r="BQ77">
        <v>1479.098</v>
      </c>
      <c r="BR77">
        <v>1470</v>
      </c>
      <c r="BS77">
        <v>87.7</v>
      </c>
      <c r="BT77">
        <v>1216.5519999999999</v>
      </c>
      <c r="BU77">
        <v>1774.1379999999999</v>
      </c>
      <c r="BV77">
        <v>2999.2919999999999</v>
      </c>
      <c r="BW77">
        <v>2990.69</v>
      </c>
      <c r="BX77">
        <v>89.846999999999994</v>
      </c>
      <c r="BY77">
        <v>2787.931</v>
      </c>
      <c r="BZ77">
        <v>3244.1379999999999</v>
      </c>
      <c r="CA77">
        <v>3.28</v>
      </c>
      <c r="CB77">
        <v>2</v>
      </c>
      <c r="CC77">
        <v>1</v>
      </c>
      <c r="CD77">
        <v>0</v>
      </c>
      <c r="CE77">
        <v>2</v>
      </c>
      <c r="CF77">
        <v>0</v>
      </c>
    </row>
    <row r="78" spans="1:84" x14ac:dyDescent="0.35">
      <c r="A78" t="s">
        <v>124</v>
      </c>
      <c r="B78" t="str">
        <f t="shared" si="4"/>
        <v xml:space="preserve"> gi_ro_2004_07_30_589</v>
      </c>
      <c r="C78" s="1">
        <f t="shared" si="5"/>
        <v>45750</v>
      </c>
      <c r="D78" t="s">
        <v>78</v>
      </c>
      <c r="E78">
        <v>205.81299999999999</v>
      </c>
      <c r="F78">
        <v>205.66300000000001</v>
      </c>
      <c r="G78">
        <v>2.702</v>
      </c>
      <c r="H78">
        <v>200.58500000000001</v>
      </c>
      <c r="I78">
        <v>3.7155963302752289E-2</v>
      </c>
      <c r="J78">
        <v>223.858</v>
      </c>
      <c r="K78">
        <v>0.9839449541284403</v>
      </c>
      <c r="L78">
        <v>0.34300000000000003</v>
      </c>
      <c r="M78">
        <v>-25.173999999999999</v>
      </c>
      <c r="N78">
        <v>738.89099999999996</v>
      </c>
      <c r="O78">
        <v>748.303</v>
      </c>
      <c r="P78">
        <v>107.79300000000001</v>
      </c>
      <c r="Q78">
        <v>349.20800000000003</v>
      </c>
      <c r="R78">
        <v>997.73800000000006</v>
      </c>
      <c r="S78">
        <v>1172.575</v>
      </c>
      <c r="T78">
        <v>1147.3979999999999</v>
      </c>
      <c r="U78">
        <v>68.653000000000006</v>
      </c>
      <c r="V78">
        <v>1097.511</v>
      </c>
      <c r="W78">
        <v>1446.7190000000001</v>
      </c>
      <c r="X78">
        <v>3103.2440000000001</v>
      </c>
      <c r="Y78">
        <v>3142.873</v>
      </c>
      <c r="Z78">
        <v>223.70400000000001</v>
      </c>
      <c r="AA78">
        <v>2594.1179999999999</v>
      </c>
      <c r="AB78">
        <v>3591.855</v>
      </c>
      <c r="AC78">
        <v>2.1800000000000002</v>
      </c>
      <c r="AD78">
        <v>205.43</v>
      </c>
      <c r="AE78">
        <v>204.98</v>
      </c>
      <c r="AF78">
        <v>3.1040000000000001</v>
      </c>
      <c r="AG78">
        <v>201.63300000000001</v>
      </c>
      <c r="AH78">
        <v>0.12323232323232323</v>
      </c>
      <c r="AI78">
        <v>225.328</v>
      </c>
      <c r="AJ78">
        <v>1.0101010101010102E-2</v>
      </c>
      <c r="AK78">
        <v>0.44800000000000001</v>
      </c>
      <c r="AL78">
        <v>-29.654</v>
      </c>
      <c r="AM78">
        <v>353.55099999999999</v>
      </c>
      <c r="AN78">
        <v>348.02699999999999</v>
      </c>
      <c r="AO78">
        <v>58.005000000000003</v>
      </c>
      <c r="AP78">
        <v>298.30900000000003</v>
      </c>
      <c r="AQ78">
        <v>497.18200000000002</v>
      </c>
      <c r="AR78">
        <v>2143.2069999999999</v>
      </c>
      <c r="AS78">
        <v>2137.88</v>
      </c>
      <c r="AT78">
        <v>132.56100000000001</v>
      </c>
      <c r="AU78">
        <v>1740.135</v>
      </c>
      <c r="AV78">
        <v>2386.471</v>
      </c>
      <c r="AW78">
        <v>3347.0050000000001</v>
      </c>
      <c r="AX78">
        <v>3380.8339999999998</v>
      </c>
      <c r="AY78">
        <v>125.02800000000001</v>
      </c>
      <c r="AZ78">
        <v>2883.6529999999998</v>
      </c>
      <c r="BA78">
        <v>3579.7069999999999</v>
      </c>
      <c r="BB78">
        <v>1.98</v>
      </c>
      <c r="BC78">
        <v>208.56899999999999</v>
      </c>
      <c r="BD78">
        <v>208.3</v>
      </c>
      <c r="BE78">
        <v>2.452</v>
      </c>
      <c r="BF78">
        <v>205.38900000000001</v>
      </c>
      <c r="BG78">
        <v>0.86979166666666663</v>
      </c>
      <c r="BH78">
        <v>228.49700000000001</v>
      </c>
      <c r="BI78">
        <v>0</v>
      </c>
      <c r="BJ78">
        <v>0.36699999999999999</v>
      </c>
      <c r="BK78">
        <v>-29.093</v>
      </c>
      <c r="BL78">
        <v>352.72300000000001</v>
      </c>
      <c r="BM78">
        <v>351.59500000000003</v>
      </c>
      <c r="BN78">
        <v>13.066000000000001</v>
      </c>
      <c r="BO78">
        <v>301.36700000000002</v>
      </c>
      <c r="BP78">
        <v>401.822</v>
      </c>
      <c r="BQ78">
        <v>1271.7249999999999</v>
      </c>
      <c r="BR78">
        <v>1255.6949999999999</v>
      </c>
      <c r="BS78">
        <v>184.47</v>
      </c>
      <c r="BT78">
        <v>1004.556</v>
      </c>
      <c r="BU78">
        <v>1958.884</v>
      </c>
      <c r="BV78">
        <v>3101.4340000000002</v>
      </c>
      <c r="BW78">
        <v>3164.3510000000001</v>
      </c>
      <c r="BX78">
        <v>169.61500000000001</v>
      </c>
      <c r="BY78">
        <v>2712.3009999999999</v>
      </c>
      <c r="BZ78">
        <v>3465.7179999999998</v>
      </c>
      <c r="CA78">
        <v>1.92</v>
      </c>
      <c r="CB78">
        <v>4</v>
      </c>
      <c r="CC78">
        <v>1</v>
      </c>
      <c r="CD78">
        <v>0</v>
      </c>
      <c r="CE78">
        <v>2</v>
      </c>
      <c r="CF78">
        <v>2</v>
      </c>
    </row>
    <row r="79" spans="1:84" x14ac:dyDescent="0.35">
      <c r="A79" t="s">
        <v>85</v>
      </c>
      <c r="B79" t="str">
        <f t="shared" si="4"/>
        <v xml:space="preserve"> gi_ru_2005_03_08_033</v>
      </c>
      <c r="C79" s="1">
        <f t="shared" si="5"/>
        <v>45748</v>
      </c>
      <c r="D79" t="s">
        <v>78</v>
      </c>
      <c r="E79">
        <v>160.709</v>
      </c>
      <c r="F79">
        <v>158.91900000000001</v>
      </c>
      <c r="G79">
        <v>4.3079999999999998</v>
      </c>
      <c r="H79">
        <v>156.86000000000001</v>
      </c>
      <c r="I79">
        <v>0.5348484848484848</v>
      </c>
      <c r="J79">
        <v>173.03800000000001</v>
      </c>
      <c r="K79">
        <v>0.12272727272727273</v>
      </c>
      <c r="L79">
        <v>1.554</v>
      </c>
      <c r="M79">
        <v>-20.643999999999998</v>
      </c>
      <c r="N79">
        <v>732.11599999999999</v>
      </c>
      <c r="O79">
        <v>730.51400000000001</v>
      </c>
      <c r="P79">
        <v>57.228999999999999</v>
      </c>
      <c r="Q79">
        <v>653.61800000000005</v>
      </c>
      <c r="R79">
        <v>922.755</v>
      </c>
      <c r="S79">
        <v>1045.789</v>
      </c>
      <c r="T79">
        <v>1038.0989999999999</v>
      </c>
      <c r="U79">
        <v>32.046999999999997</v>
      </c>
      <c r="V79">
        <v>999.65099999999995</v>
      </c>
      <c r="W79">
        <v>1153.444</v>
      </c>
      <c r="X79">
        <v>3035.8</v>
      </c>
      <c r="Y79">
        <v>3037.402</v>
      </c>
      <c r="Z79">
        <v>93.135000000000005</v>
      </c>
      <c r="AA79">
        <v>2845.1610000000001</v>
      </c>
      <c r="AB79">
        <v>3191.194</v>
      </c>
      <c r="AC79">
        <v>0.66</v>
      </c>
      <c r="AD79">
        <v>169.334</v>
      </c>
      <c r="AE79">
        <v>166.23599999999999</v>
      </c>
      <c r="AF79">
        <v>8.5549999999999997</v>
      </c>
      <c r="AG79">
        <v>164.29</v>
      </c>
      <c r="AH79">
        <v>0.37999999999999995</v>
      </c>
      <c r="AI79">
        <v>198.012</v>
      </c>
      <c r="AJ79">
        <v>0</v>
      </c>
      <c r="AK79">
        <v>0.97199999999999998</v>
      </c>
      <c r="AL79">
        <v>-25.588000000000001</v>
      </c>
      <c r="AM79">
        <v>300.12599999999998</v>
      </c>
      <c r="AN79">
        <v>285.30500000000001</v>
      </c>
      <c r="AO79">
        <v>20.068000000000001</v>
      </c>
      <c r="AP79">
        <v>285.30500000000001</v>
      </c>
      <c r="AQ79">
        <v>326.06299999999999</v>
      </c>
      <c r="AR79">
        <v>2445.471</v>
      </c>
      <c r="AS79">
        <v>2526.9870000000001</v>
      </c>
      <c r="AT79">
        <v>209.357</v>
      </c>
      <c r="AU79">
        <v>1752.588</v>
      </c>
      <c r="AV79">
        <v>2567.7449999999999</v>
      </c>
      <c r="AW79">
        <v>3154.1320000000001</v>
      </c>
      <c r="AX79">
        <v>3179.1129999999998</v>
      </c>
      <c r="AY79">
        <v>157.38999999999999</v>
      </c>
      <c r="AZ79">
        <v>2771.5340000000001</v>
      </c>
      <c r="BA79">
        <v>3505.1759999999999</v>
      </c>
      <c r="BB79">
        <v>0.8</v>
      </c>
      <c r="BC79">
        <v>167.09100000000001</v>
      </c>
      <c r="BD79">
        <v>166.23599999999999</v>
      </c>
      <c r="BE79">
        <v>2.9590000000000001</v>
      </c>
      <c r="BF79">
        <v>163.767</v>
      </c>
      <c r="BG79">
        <v>0.93690476190476202</v>
      </c>
      <c r="BH79">
        <v>180.95</v>
      </c>
      <c r="BI79">
        <v>2.3809523809523812E-2</v>
      </c>
      <c r="BJ79">
        <v>0.82</v>
      </c>
      <c r="BK79">
        <v>-26.864999999999998</v>
      </c>
      <c r="BL79">
        <v>341.99200000000002</v>
      </c>
      <c r="BM79">
        <v>322.48599999999999</v>
      </c>
      <c r="BN79">
        <v>20.478000000000002</v>
      </c>
      <c r="BO79">
        <v>322.48599999999999</v>
      </c>
      <c r="BP79">
        <v>362.79700000000003</v>
      </c>
      <c r="BQ79">
        <v>1018.764</v>
      </c>
      <c r="BR79">
        <v>1007.77</v>
      </c>
      <c r="BS79">
        <v>78.768000000000001</v>
      </c>
      <c r="BT79">
        <v>967.45899999999995</v>
      </c>
      <c r="BU79">
        <v>1209.3240000000001</v>
      </c>
      <c r="BV79">
        <v>3257.8440000000001</v>
      </c>
      <c r="BW79">
        <v>3265.174</v>
      </c>
      <c r="BX79">
        <v>134.625</v>
      </c>
      <c r="BY79">
        <v>2902.377</v>
      </c>
      <c r="BZ79">
        <v>3507.038</v>
      </c>
      <c r="CA79">
        <v>0.84</v>
      </c>
    </row>
    <row r="80" spans="1:84" x14ac:dyDescent="0.35">
      <c r="A80" t="s">
        <v>106</v>
      </c>
      <c r="B80" t="str">
        <f t="shared" si="4"/>
        <v xml:space="preserve"> gi_so_2005_09_11_398</v>
      </c>
      <c r="C80" s="1">
        <f t="shared" si="5"/>
        <v>45749</v>
      </c>
      <c r="D80" t="s">
        <v>78</v>
      </c>
      <c r="E80">
        <v>170.28800000000001</v>
      </c>
      <c r="F80">
        <v>169.709</v>
      </c>
      <c r="G80">
        <v>3.5539999999999998</v>
      </c>
      <c r="H80">
        <v>164.64</v>
      </c>
      <c r="I80">
        <v>0.33055555555555555</v>
      </c>
      <c r="J80">
        <v>188.46199999999999</v>
      </c>
      <c r="K80">
        <v>0.97499999999999998</v>
      </c>
      <c r="L80">
        <v>0.66800000000000004</v>
      </c>
      <c r="M80">
        <v>-20.847000000000001</v>
      </c>
      <c r="N80">
        <v>743.05</v>
      </c>
      <c r="O80">
        <v>771.54700000000003</v>
      </c>
      <c r="P80">
        <v>77.111000000000004</v>
      </c>
      <c r="Q80">
        <v>446.685</v>
      </c>
      <c r="R80">
        <v>893.37</v>
      </c>
      <c r="S80">
        <v>1048.4179999999999</v>
      </c>
      <c r="T80">
        <v>1015.193</v>
      </c>
      <c r="U80">
        <v>43.804000000000002</v>
      </c>
      <c r="V80">
        <v>1015.193</v>
      </c>
      <c r="W80">
        <v>1137.0170000000001</v>
      </c>
      <c r="X80">
        <v>2806.2080000000001</v>
      </c>
      <c r="Y80">
        <v>2801.9340000000002</v>
      </c>
      <c r="Z80">
        <v>126.02500000000001</v>
      </c>
      <c r="AA80">
        <v>2355.2489999999998</v>
      </c>
      <c r="AB80">
        <v>3045.58</v>
      </c>
      <c r="AC80">
        <v>1.44</v>
      </c>
      <c r="AD80">
        <v>216.55</v>
      </c>
      <c r="AE80">
        <v>218.471</v>
      </c>
      <c r="AF80">
        <v>8.56</v>
      </c>
      <c r="AG80">
        <v>198.393</v>
      </c>
      <c r="AH80">
        <v>8.8636363636363638E-2</v>
      </c>
      <c r="AI80">
        <v>238.37799999999999</v>
      </c>
      <c r="AJ80">
        <v>0.97499999999999998</v>
      </c>
      <c r="AK80">
        <v>0.98699999999999999</v>
      </c>
      <c r="AL80">
        <v>-24.408999999999999</v>
      </c>
      <c r="AM80">
        <v>366.33300000000003</v>
      </c>
      <c r="AN80">
        <v>367.5</v>
      </c>
      <c r="AO80">
        <v>20.907</v>
      </c>
      <c r="AP80">
        <v>315</v>
      </c>
      <c r="AQ80">
        <v>420</v>
      </c>
      <c r="AR80">
        <v>2252.8330000000001</v>
      </c>
      <c r="AS80">
        <v>2310</v>
      </c>
      <c r="AT80">
        <v>218.428</v>
      </c>
      <c r="AU80">
        <v>1522.5</v>
      </c>
      <c r="AV80">
        <v>2415</v>
      </c>
      <c r="AW80">
        <v>2924.8330000000001</v>
      </c>
      <c r="AX80">
        <v>2992.5</v>
      </c>
      <c r="AY80">
        <v>171.81299999999999</v>
      </c>
      <c r="AZ80">
        <v>2467.5</v>
      </c>
      <c r="BA80">
        <v>3202.5</v>
      </c>
      <c r="BB80">
        <v>0.88</v>
      </c>
      <c r="BC80">
        <v>191.77</v>
      </c>
      <c r="BD80">
        <v>193.66399999999999</v>
      </c>
      <c r="BE80">
        <v>4.5620000000000003</v>
      </c>
      <c r="BF80">
        <v>180.84399999999999</v>
      </c>
      <c r="BG80">
        <v>8.2075471698113203E-2</v>
      </c>
      <c r="BH80">
        <v>197.88499999999999</v>
      </c>
      <c r="BI80">
        <v>0.99339622641509417</v>
      </c>
      <c r="BJ80">
        <v>0.61</v>
      </c>
      <c r="BK80">
        <v>-26.777000000000001</v>
      </c>
      <c r="BL80">
        <v>395.07299999999998</v>
      </c>
      <c r="BM80">
        <v>409.59800000000001</v>
      </c>
      <c r="BN80">
        <v>21.443999999999999</v>
      </c>
      <c r="BO80">
        <v>364.08699999999999</v>
      </c>
      <c r="BP80">
        <v>409.59800000000001</v>
      </c>
      <c r="BQ80">
        <v>1144.431</v>
      </c>
      <c r="BR80">
        <v>1092.26</v>
      </c>
      <c r="BS80">
        <v>133.29400000000001</v>
      </c>
      <c r="BT80">
        <v>1001.2380000000001</v>
      </c>
      <c r="BU80">
        <v>1547.3679999999999</v>
      </c>
      <c r="BV80">
        <v>2788.7489999999998</v>
      </c>
      <c r="BW80">
        <v>2776.1610000000001</v>
      </c>
      <c r="BX80">
        <v>145.072</v>
      </c>
      <c r="BY80">
        <v>2594.1179999999999</v>
      </c>
      <c r="BZ80">
        <v>3231.2689999999998</v>
      </c>
      <c r="CA80">
        <v>1.06</v>
      </c>
      <c r="CB80">
        <v>6</v>
      </c>
      <c r="CC80">
        <v>3</v>
      </c>
      <c r="CD80">
        <v>0</v>
      </c>
      <c r="CE80">
        <v>2</v>
      </c>
      <c r="CF80">
        <v>0</v>
      </c>
    </row>
    <row r="81" spans="1:84" x14ac:dyDescent="0.35">
      <c r="A81" t="s">
        <v>142</v>
      </c>
      <c r="B81" t="str">
        <f t="shared" si="4"/>
        <v xml:space="preserve"> gi_to_2004_06_25_982</v>
      </c>
      <c r="C81" s="1">
        <f t="shared" si="5"/>
        <v>45751</v>
      </c>
      <c r="D81" t="s">
        <v>78</v>
      </c>
      <c r="E81">
        <v>190.23099999999999</v>
      </c>
      <c r="F81">
        <v>190.321</v>
      </c>
      <c r="G81">
        <v>2.9729999999999999</v>
      </c>
      <c r="H81">
        <v>184.51900000000001</v>
      </c>
      <c r="I81">
        <v>0.11224489795918369</v>
      </c>
      <c r="J81">
        <v>204.30199999999999</v>
      </c>
      <c r="K81">
        <v>0</v>
      </c>
      <c r="L81">
        <v>0.44700000000000001</v>
      </c>
      <c r="M81">
        <v>-28.818999999999999</v>
      </c>
      <c r="N81">
        <v>682.78399999999999</v>
      </c>
      <c r="O81">
        <v>686.91600000000005</v>
      </c>
      <c r="P81">
        <v>98.356999999999999</v>
      </c>
      <c r="Q81">
        <v>366.35500000000002</v>
      </c>
      <c r="R81">
        <v>870.09299999999996</v>
      </c>
      <c r="S81">
        <v>1064.634</v>
      </c>
      <c r="T81">
        <v>1053.271</v>
      </c>
      <c r="U81">
        <v>31.59</v>
      </c>
      <c r="V81">
        <v>1007.477</v>
      </c>
      <c r="W81">
        <v>1190.654</v>
      </c>
      <c r="X81">
        <v>3103</v>
      </c>
      <c r="Y81">
        <v>3114.0189999999998</v>
      </c>
      <c r="Z81">
        <v>188.744</v>
      </c>
      <c r="AA81">
        <v>2656.0749999999998</v>
      </c>
      <c r="AB81">
        <v>4075.701</v>
      </c>
      <c r="AC81">
        <v>2.94</v>
      </c>
      <c r="AD81">
        <v>191.56200000000001</v>
      </c>
      <c r="AE81">
        <v>191.44200000000001</v>
      </c>
      <c r="AF81">
        <v>3.6309999999999998</v>
      </c>
      <c r="AG81">
        <v>184.07900000000001</v>
      </c>
      <c r="AH81">
        <v>0.94726562499999989</v>
      </c>
      <c r="AI81">
        <v>213.04300000000001</v>
      </c>
      <c r="AJ81">
        <v>0</v>
      </c>
      <c r="AK81">
        <v>0.47699999999999998</v>
      </c>
      <c r="AL81">
        <v>-27.707000000000001</v>
      </c>
      <c r="AM81">
        <v>325.255</v>
      </c>
      <c r="AN81">
        <v>320.22800000000001</v>
      </c>
      <c r="AO81">
        <v>19.824000000000002</v>
      </c>
      <c r="AP81">
        <v>274.48099999999999</v>
      </c>
      <c r="AQ81">
        <v>365.97500000000002</v>
      </c>
      <c r="AR81">
        <v>1326.66</v>
      </c>
      <c r="AS81">
        <v>1326.66</v>
      </c>
      <c r="AT81">
        <v>64.695999999999998</v>
      </c>
      <c r="AU81">
        <v>1280.913</v>
      </c>
      <c r="AV81">
        <v>1372.4069999999999</v>
      </c>
      <c r="AW81">
        <v>3821.837</v>
      </c>
      <c r="AX81">
        <v>3888.4850000000001</v>
      </c>
      <c r="AY81">
        <v>211.53</v>
      </c>
      <c r="AZ81">
        <v>3202.2820000000002</v>
      </c>
      <c r="BA81">
        <v>4162.9669999999996</v>
      </c>
      <c r="BB81">
        <v>2.56</v>
      </c>
      <c r="BC81">
        <v>190.529</v>
      </c>
      <c r="BD81">
        <v>190.673</v>
      </c>
      <c r="BE81">
        <v>3.4209999999999998</v>
      </c>
      <c r="BF81">
        <v>177.72</v>
      </c>
      <c r="BG81">
        <v>0.98143939393939394</v>
      </c>
      <c r="BH81">
        <v>205.25299999999999</v>
      </c>
      <c r="BI81">
        <v>8.3333333333333332E-3</v>
      </c>
      <c r="BJ81">
        <v>0.56200000000000006</v>
      </c>
      <c r="BK81">
        <v>-30.251999999999999</v>
      </c>
      <c r="BL81">
        <v>386.73899999999998</v>
      </c>
      <c r="BM81">
        <v>367.5</v>
      </c>
      <c r="BN81">
        <v>23.547000000000001</v>
      </c>
      <c r="BO81">
        <v>321.56299999999999</v>
      </c>
      <c r="BP81">
        <v>413.43799999999999</v>
      </c>
      <c r="BV81">
        <v>3505.4140000000002</v>
      </c>
      <c r="BW81">
        <v>3537.1880000000001</v>
      </c>
      <c r="BX81">
        <v>165.34</v>
      </c>
      <c r="BY81">
        <v>3077.8130000000001</v>
      </c>
      <c r="BZ81">
        <v>3858.75</v>
      </c>
      <c r="CA81">
        <v>2.64</v>
      </c>
      <c r="CB81">
        <v>6</v>
      </c>
      <c r="CC81">
        <v>0</v>
      </c>
      <c r="CD81">
        <v>0</v>
      </c>
      <c r="CE81">
        <v>1</v>
      </c>
      <c r="CF81">
        <v>4</v>
      </c>
    </row>
    <row r="82" spans="1:84" x14ac:dyDescent="0.35">
      <c r="A82" t="s">
        <v>165</v>
      </c>
      <c r="B82" t="str">
        <f t="shared" si="4"/>
        <v xml:space="preserve"> gi_tr_2005_09_08_335</v>
      </c>
      <c r="C82" s="1">
        <f t="shared" si="5"/>
        <v>45752</v>
      </c>
      <c r="D82" t="s">
        <v>78</v>
      </c>
      <c r="E82">
        <v>193.518</v>
      </c>
      <c r="F82">
        <v>191.858</v>
      </c>
      <c r="G82">
        <v>6.218</v>
      </c>
      <c r="H82">
        <v>189.154</v>
      </c>
      <c r="I82">
        <v>0.68794326241134751</v>
      </c>
      <c r="J82">
        <v>242.30799999999999</v>
      </c>
      <c r="K82">
        <v>0.97375886524822697</v>
      </c>
      <c r="L82">
        <v>0.65700000000000003</v>
      </c>
      <c r="M82">
        <v>-23.082000000000001</v>
      </c>
      <c r="N82">
        <v>842.10900000000004</v>
      </c>
      <c r="O82">
        <v>832.07500000000005</v>
      </c>
      <c r="P82">
        <v>52.311999999999998</v>
      </c>
      <c r="Q82">
        <v>693.39599999999996</v>
      </c>
      <c r="R82">
        <v>970.755</v>
      </c>
      <c r="S82">
        <v>1178.4069999999999</v>
      </c>
      <c r="T82">
        <v>1201.8869999999999</v>
      </c>
      <c r="U82">
        <v>51.225000000000001</v>
      </c>
      <c r="V82">
        <v>1063.2080000000001</v>
      </c>
      <c r="W82">
        <v>1340.566</v>
      </c>
      <c r="X82">
        <v>2681.8490000000002</v>
      </c>
      <c r="Y82">
        <v>2681.1320000000001</v>
      </c>
      <c r="Z82">
        <v>59.206000000000003</v>
      </c>
      <c r="AA82">
        <v>2542.453</v>
      </c>
      <c r="AB82">
        <v>2866.038</v>
      </c>
      <c r="AC82">
        <v>2.82</v>
      </c>
      <c r="AD82">
        <v>203.34899999999999</v>
      </c>
      <c r="AE82">
        <v>202.29400000000001</v>
      </c>
      <c r="AF82">
        <v>5.5359999999999996</v>
      </c>
      <c r="AG82">
        <v>191.739</v>
      </c>
      <c r="AH82">
        <v>0.99326923076923079</v>
      </c>
      <c r="AI82">
        <v>259.41199999999998</v>
      </c>
      <c r="AJ82">
        <v>1</v>
      </c>
      <c r="AK82">
        <v>0.54300000000000004</v>
      </c>
      <c r="AL82">
        <v>-30.152999999999999</v>
      </c>
      <c r="AM82">
        <v>378.88200000000001</v>
      </c>
      <c r="AN82">
        <v>392.43599999999998</v>
      </c>
      <c r="AO82">
        <v>22.007999999999999</v>
      </c>
      <c r="AP82">
        <v>343.38200000000001</v>
      </c>
      <c r="AQ82">
        <v>392.43599999999998</v>
      </c>
      <c r="AR82">
        <v>2453.0590000000002</v>
      </c>
      <c r="AS82">
        <v>2452.7249999999999</v>
      </c>
      <c r="AT82">
        <v>54.618000000000002</v>
      </c>
      <c r="AU82">
        <v>2256.5070000000001</v>
      </c>
      <c r="AV82">
        <v>2599.8890000000001</v>
      </c>
      <c r="AW82">
        <v>3230.1750000000002</v>
      </c>
      <c r="AX82">
        <v>3286.652</v>
      </c>
      <c r="AY82">
        <v>230.761</v>
      </c>
      <c r="AZ82">
        <v>2697.998</v>
      </c>
      <c r="BA82">
        <v>3826.2510000000002</v>
      </c>
      <c r="BB82">
        <v>3.12</v>
      </c>
      <c r="BC82">
        <v>209.28700000000001</v>
      </c>
      <c r="BD82">
        <v>208.44</v>
      </c>
      <c r="BE82">
        <v>4.234</v>
      </c>
      <c r="BF82">
        <v>175.697</v>
      </c>
      <c r="BG82">
        <v>0.9910714285714286</v>
      </c>
      <c r="BH82">
        <v>223.37200000000001</v>
      </c>
      <c r="BI82">
        <v>7.1428571428571435E-3</v>
      </c>
      <c r="BJ82">
        <v>0.49199999999999999</v>
      </c>
      <c r="BK82">
        <v>-30.396999999999998</v>
      </c>
      <c r="BL82">
        <v>400.90899999999999</v>
      </c>
      <c r="BM82">
        <v>400.90899999999999</v>
      </c>
      <c r="BN82">
        <v>6033</v>
      </c>
      <c r="BO82">
        <v>350.79500000000002</v>
      </c>
      <c r="BP82">
        <v>451.02300000000002</v>
      </c>
      <c r="BQ82">
        <v>1169.193</v>
      </c>
      <c r="BR82">
        <v>1152.614</v>
      </c>
      <c r="BS82">
        <v>93.290999999999997</v>
      </c>
      <c r="BT82">
        <v>1002.273</v>
      </c>
      <c r="BU82">
        <v>1503.4090000000001</v>
      </c>
      <c r="BV82">
        <v>3822.3359999999998</v>
      </c>
      <c r="BW82">
        <v>3958.9769999999999</v>
      </c>
      <c r="BX82">
        <v>280.50400000000002</v>
      </c>
      <c r="BY82">
        <v>2856.4769999999999</v>
      </c>
      <c r="BZ82">
        <v>4159.4319999999998</v>
      </c>
      <c r="CA82">
        <v>2.8</v>
      </c>
    </row>
    <row r="83" spans="1:84" x14ac:dyDescent="0.35">
      <c r="A83" t="s">
        <v>86</v>
      </c>
      <c r="B83" t="str">
        <f t="shared" si="4"/>
        <v xml:space="preserve"> gr_pe_2005_11_17_273</v>
      </c>
      <c r="C83" s="1">
        <f t="shared" si="5"/>
        <v>45748</v>
      </c>
      <c r="D83" t="s">
        <v>78</v>
      </c>
      <c r="E83">
        <v>185.62</v>
      </c>
      <c r="F83">
        <v>184.74</v>
      </c>
      <c r="G83">
        <v>4.0599999999999996</v>
      </c>
      <c r="H83">
        <v>179.79</v>
      </c>
      <c r="I83">
        <v>0.2072072072072072</v>
      </c>
      <c r="J83">
        <v>204.167</v>
      </c>
      <c r="K83">
        <v>1.0360360360360359E-2</v>
      </c>
      <c r="L83">
        <v>0.73399999999999999</v>
      </c>
      <c r="M83">
        <v>-23.529</v>
      </c>
      <c r="N83">
        <v>745.60599999999999</v>
      </c>
      <c r="O83">
        <v>747.45799999999997</v>
      </c>
      <c r="P83">
        <v>61.820999999999998</v>
      </c>
      <c r="Q83">
        <v>439.68099999999998</v>
      </c>
      <c r="R83">
        <v>879.36199999999997</v>
      </c>
      <c r="S83">
        <v>1058.942</v>
      </c>
      <c r="T83">
        <v>1055.2339999999999</v>
      </c>
      <c r="U83">
        <v>75.284999999999997</v>
      </c>
      <c r="V83">
        <v>967.298</v>
      </c>
      <c r="W83">
        <v>1231.107</v>
      </c>
      <c r="X83">
        <v>3320.9650000000001</v>
      </c>
      <c r="Y83">
        <v>3297.607</v>
      </c>
      <c r="Z83">
        <v>337.15</v>
      </c>
      <c r="AA83">
        <v>2769.99</v>
      </c>
      <c r="AB83">
        <v>4352.8410000000003</v>
      </c>
      <c r="AC83">
        <v>2.2200000000000002</v>
      </c>
      <c r="AD83">
        <v>185.29499999999999</v>
      </c>
      <c r="AE83">
        <v>185.072</v>
      </c>
      <c r="AF83">
        <v>1.944</v>
      </c>
      <c r="AG83">
        <v>182.447</v>
      </c>
      <c r="AH83">
        <v>0.59516129032258069</v>
      </c>
      <c r="AI83">
        <v>193.66399999999999</v>
      </c>
      <c r="AJ83">
        <v>1.7338709677419354E-2</v>
      </c>
      <c r="AK83">
        <v>0.34899999999999998</v>
      </c>
      <c r="AL83">
        <v>-28.934999999999999</v>
      </c>
      <c r="AM83">
        <v>350.19099999999997</v>
      </c>
      <c r="AN83">
        <v>354.93</v>
      </c>
      <c r="AO83">
        <v>13.77</v>
      </c>
      <c r="AP83">
        <v>310.56299999999999</v>
      </c>
      <c r="AQ83">
        <v>354.93</v>
      </c>
      <c r="AR83">
        <v>2185.748</v>
      </c>
      <c r="AS83">
        <v>2173.944</v>
      </c>
      <c r="AT83">
        <v>30.573</v>
      </c>
      <c r="AU83">
        <v>2085.2109999999998</v>
      </c>
      <c r="AV83">
        <v>2307.0419999999999</v>
      </c>
      <c r="AW83">
        <v>3975.0479999999998</v>
      </c>
      <c r="AX83">
        <v>3992.9580000000001</v>
      </c>
      <c r="AY83">
        <v>135.96</v>
      </c>
      <c r="AZ83">
        <v>3327.4650000000001</v>
      </c>
      <c r="BA83">
        <v>4303.5209999999997</v>
      </c>
      <c r="BB83">
        <v>2.48</v>
      </c>
      <c r="BC83">
        <v>182.46</v>
      </c>
      <c r="BD83">
        <v>182.447</v>
      </c>
      <c r="BE83">
        <v>1.6040000000000001</v>
      </c>
      <c r="BF83">
        <v>176.602</v>
      </c>
      <c r="BG83">
        <v>0.9735042735042736</v>
      </c>
      <c r="BH83">
        <v>187.88800000000001</v>
      </c>
      <c r="BI83">
        <v>9.8290598290598288E-3</v>
      </c>
      <c r="BJ83">
        <v>0.40400000000000003</v>
      </c>
      <c r="BK83">
        <v>-29.381</v>
      </c>
      <c r="BL83">
        <v>348.89</v>
      </c>
      <c r="BM83">
        <v>347.58600000000001</v>
      </c>
      <c r="BN83">
        <v>7449</v>
      </c>
      <c r="BO83">
        <v>347.58600000000001</v>
      </c>
      <c r="BP83">
        <v>391.03399999999999</v>
      </c>
      <c r="BQ83">
        <v>1053.8520000000001</v>
      </c>
      <c r="BR83">
        <v>1042.759</v>
      </c>
      <c r="BS83">
        <v>37.116999999999997</v>
      </c>
      <c r="BT83">
        <v>955.86199999999997</v>
      </c>
      <c r="BU83">
        <v>1129.655</v>
      </c>
      <c r="BV83">
        <v>4166.2550000000001</v>
      </c>
      <c r="BW83">
        <v>4171.0339999999997</v>
      </c>
      <c r="BX83">
        <v>72.518000000000001</v>
      </c>
      <c r="BY83">
        <v>3997.241</v>
      </c>
      <c r="BZ83">
        <v>4344.8280000000004</v>
      </c>
      <c r="CA83">
        <v>2.34</v>
      </c>
      <c r="CB83">
        <v>7</v>
      </c>
      <c r="CC83">
        <v>3</v>
      </c>
      <c r="CD83">
        <v>0</v>
      </c>
      <c r="CE83">
        <v>3</v>
      </c>
      <c r="CF83">
        <v>1</v>
      </c>
    </row>
    <row r="84" spans="1:84" x14ac:dyDescent="0.35">
      <c r="A84" t="s">
        <v>143</v>
      </c>
      <c r="B84" t="str">
        <f t="shared" si="4"/>
        <v xml:space="preserve"> hi_na_2005_03_08_339</v>
      </c>
      <c r="C84" s="1">
        <f t="shared" si="5"/>
        <v>45751</v>
      </c>
      <c r="D84" t="s">
        <v>78</v>
      </c>
      <c r="E84">
        <v>160.88200000000001</v>
      </c>
      <c r="F84">
        <v>159.86500000000001</v>
      </c>
      <c r="G84">
        <v>5.8049999999999997</v>
      </c>
      <c r="H84">
        <v>156.94</v>
      </c>
      <c r="I84">
        <v>0.5018987341772152</v>
      </c>
      <c r="J84">
        <v>207.042</v>
      </c>
      <c r="K84">
        <v>1.6455696202531643E-2</v>
      </c>
      <c r="L84">
        <v>0.71799999999999997</v>
      </c>
      <c r="M84">
        <v>-29.196000000000002</v>
      </c>
      <c r="N84">
        <v>507.565</v>
      </c>
      <c r="O84">
        <v>465.435</v>
      </c>
      <c r="P84">
        <v>117.262</v>
      </c>
      <c r="Q84">
        <v>271.50400000000002</v>
      </c>
      <c r="R84">
        <v>1047.23</v>
      </c>
      <c r="S84">
        <v>1278.961</v>
      </c>
      <c r="T84">
        <v>1279.9469999999999</v>
      </c>
      <c r="U84">
        <v>80.093999999999994</v>
      </c>
      <c r="V84">
        <v>1047.23</v>
      </c>
      <c r="W84">
        <v>1745.383</v>
      </c>
      <c r="X84">
        <v>3507.7539999999999</v>
      </c>
      <c r="Y84">
        <v>3490.7649999999999</v>
      </c>
      <c r="Z84">
        <v>220.37100000000001</v>
      </c>
      <c r="AA84">
        <v>3064.116</v>
      </c>
      <c r="AB84">
        <v>4111.3459999999995</v>
      </c>
      <c r="AC84">
        <v>3.16</v>
      </c>
      <c r="AD84">
        <v>161.95500000000001</v>
      </c>
      <c r="AE84">
        <v>161.66499999999999</v>
      </c>
      <c r="AF84">
        <v>4.2370000000000001</v>
      </c>
      <c r="AG84">
        <v>154.273</v>
      </c>
      <c r="AH84">
        <v>0.99968553459119491</v>
      </c>
      <c r="AI84">
        <v>180.738</v>
      </c>
      <c r="AJ84">
        <v>6.2893081761006284E-3</v>
      </c>
      <c r="AK84">
        <v>0.49</v>
      </c>
      <c r="AL84">
        <v>-28.66</v>
      </c>
      <c r="AM84">
        <v>309.25099999999998</v>
      </c>
      <c r="AN84">
        <v>308.93200000000002</v>
      </c>
      <c r="AO84">
        <v>6097</v>
      </c>
      <c r="AP84">
        <v>270.315</v>
      </c>
      <c r="AQ84">
        <v>347.548</v>
      </c>
      <c r="AR84">
        <v>2477.0169999999998</v>
      </c>
      <c r="AS84">
        <v>2510.0700000000002</v>
      </c>
      <c r="AT84">
        <v>92.86</v>
      </c>
      <c r="AU84">
        <v>1776.357</v>
      </c>
      <c r="AV84">
        <v>2625.9189999999999</v>
      </c>
      <c r="AW84">
        <v>3687.8719999999998</v>
      </c>
      <c r="AX84">
        <v>3668.5639999999999</v>
      </c>
      <c r="AY84">
        <v>166.02099999999999</v>
      </c>
      <c r="AZ84">
        <v>3089.317</v>
      </c>
      <c r="BA84">
        <v>4131.9610000000002</v>
      </c>
      <c r="BB84">
        <v>3.18</v>
      </c>
      <c r="BC84">
        <v>163.41</v>
      </c>
      <c r="BD84">
        <v>159.86500000000001</v>
      </c>
      <c r="BE84">
        <v>24.085999999999999</v>
      </c>
      <c r="BF84">
        <v>154.042</v>
      </c>
      <c r="BG84">
        <v>0.78333333333333321</v>
      </c>
      <c r="BH84">
        <v>347.24400000000003</v>
      </c>
      <c r="BI84">
        <v>0</v>
      </c>
      <c r="BJ84">
        <v>0.91600000000000004</v>
      </c>
      <c r="BK84">
        <v>-29.724</v>
      </c>
      <c r="BL84">
        <v>348.13</v>
      </c>
      <c r="BM84">
        <v>348.464</v>
      </c>
      <c r="BN84">
        <v>26.774000000000001</v>
      </c>
      <c r="BO84">
        <v>309.745</v>
      </c>
      <c r="BP84">
        <v>542.05399999999997</v>
      </c>
      <c r="BQ84">
        <v>1039.8599999999999</v>
      </c>
      <c r="BR84">
        <v>1006.673</v>
      </c>
      <c r="BS84">
        <v>76.448999999999998</v>
      </c>
      <c r="BT84">
        <v>1006.673</v>
      </c>
      <c r="BU84">
        <v>1587.4449999999999</v>
      </c>
      <c r="BV84">
        <v>3727.5340000000001</v>
      </c>
      <c r="BW84">
        <v>3716.9450000000002</v>
      </c>
      <c r="BX84">
        <v>143.041</v>
      </c>
      <c r="BY84">
        <v>3136.172</v>
      </c>
      <c r="BZ84">
        <v>4065.4079999999999</v>
      </c>
      <c r="CA84">
        <v>3.06</v>
      </c>
    </row>
    <row r="85" spans="1:84" x14ac:dyDescent="0.35">
      <c r="A85" t="s">
        <v>144</v>
      </c>
      <c r="B85" t="str">
        <f t="shared" si="4"/>
        <v xml:space="preserve"> il_le_2005_11_13_728</v>
      </c>
      <c r="C85" s="1">
        <f t="shared" si="5"/>
        <v>45751</v>
      </c>
      <c r="D85" t="s">
        <v>78</v>
      </c>
      <c r="E85">
        <v>182.28399999999999</v>
      </c>
      <c r="F85">
        <v>180.10499999999999</v>
      </c>
      <c r="G85">
        <v>6.6779999999999999</v>
      </c>
      <c r="H85">
        <v>174.11199999999999</v>
      </c>
      <c r="I85">
        <v>0.98962962962962964</v>
      </c>
      <c r="J85">
        <v>213.63300000000001</v>
      </c>
      <c r="K85">
        <v>0</v>
      </c>
      <c r="L85">
        <v>0.63100000000000001</v>
      </c>
      <c r="M85">
        <v>-21.29</v>
      </c>
      <c r="N85">
        <v>820.21400000000006</v>
      </c>
      <c r="O85">
        <v>824.70500000000004</v>
      </c>
      <c r="P85">
        <v>45.929000000000002</v>
      </c>
      <c r="Q85">
        <v>737.89400000000001</v>
      </c>
      <c r="R85">
        <v>1041.732</v>
      </c>
      <c r="S85">
        <v>1030.787</v>
      </c>
      <c r="T85">
        <v>1041.732</v>
      </c>
      <c r="U85">
        <v>48.731000000000002</v>
      </c>
      <c r="V85">
        <v>954.92100000000005</v>
      </c>
      <c r="W85">
        <v>1345.5709999999999</v>
      </c>
      <c r="X85">
        <v>2903.3049999999998</v>
      </c>
      <c r="Y85">
        <v>2908.1689999999999</v>
      </c>
      <c r="Z85">
        <v>116.578</v>
      </c>
      <c r="AA85">
        <v>2647.7359999999999</v>
      </c>
      <c r="AB85">
        <v>3472.4409999999998</v>
      </c>
      <c r="AC85">
        <v>2.7</v>
      </c>
      <c r="AD85">
        <v>195.52699999999999</v>
      </c>
      <c r="AE85">
        <v>192.33600000000001</v>
      </c>
      <c r="AF85">
        <v>10.513</v>
      </c>
      <c r="AG85">
        <v>187.31800000000001</v>
      </c>
      <c r="AH85">
        <v>0.75714285714285723</v>
      </c>
      <c r="AI85">
        <v>267.27300000000002</v>
      </c>
      <c r="AJ85">
        <v>0</v>
      </c>
      <c r="AK85">
        <v>0.64100000000000001</v>
      </c>
      <c r="AL85">
        <v>-26.495999999999999</v>
      </c>
      <c r="AM85">
        <v>352.97800000000001</v>
      </c>
      <c r="AN85">
        <v>372.54500000000002</v>
      </c>
      <c r="AO85">
        <v>23.082999999999998</v>
      </c>
      <c r="AP85">
        <v>325.97699999999998</v>
      </c>
      <c r="AQ85">
        <v>372.54500000000002</v>
      </c>
      <c r="AR85">
        <v>2393.0529999999999</v>
      </c>
      <c r="AS85">
        <v>2421.5419999999999</v>
      </c>
      <c r="AT85">
        <v>121.54</v>
      </c>
      <c r="AU85">
        <v>1583.316</v>
      </c>
      <c r="AV85">
        <v>2561.2460000000001</v>
      </c>
      <c r="AW85">
        <v>3457.2310000000002</v>
      </c>
      <c r="AX85">
        <v>3446.04</v>
      </c>
      <c r="AY85">
        <v>165.441</v>
      </c>
      <c r="AZ85">
        <v>3073.4949999999999</v>
      </c>
      <c r="BA85">
        <v>3911.721</v>
      </c>
      <c r="BB85">
        <v>2.8</v>
      </c>
      <c r="BC85">
        <v>203.155</v>
      </c>
      <c r="BD85">
        <v>200.065</v>
      </c>
      <c r="BE85">
        <v>14.898999999999999</v>
      </c>
      <c r="BF85">
        <v>188.923</v>
      </c>
      <c r="BG85">
        <v>0.98104575163398688</v>
      </c>
      <c r="BH85">
        <v>331.57900000000001</v>
      </c>
      <c r="BI85">
        <v>0</v>
      </c>
      <c r="BJ85">
        <v>0.66100000000000003</v>
      </c>
      <c r="BK85">
        <v>-30.181000000000001</v>
      </c>
      <c r="BL85">
        <v>392.70400000000001</v>
      </c>
      <c r="BM85">
        <v>386.41800000000001</v>
      </c>
      <c r="BN85">
        <v>47.212000000000003</v>
      </c>
      <c r="BO85">
        <v>338.11599999999999</v>
      </c>
      <c r="BP85">
        <v>917.74400000000003</v>
      </c>
      <c r="BQ85">
        <v>1184.068</v>
      </c>
      <c r="BR85">
        <v>1110.953</v>
      </c>
      <c r="BS85">
        <v>197.512</v>
      </c>
      <c r="BT85">
        <v>1014.348</v>
      </c>
      <c r="BU85">
        <v>2028.6969999999999</v>
      </c>
      <c r="BV85">
        <v>3176.703</v>
      </c>
      <c r="BW85">
        <v>3139.65</v>
      </c>
      <c r="BX85">
        <v>367.68599999999998</v>
      </c>
      <c r="BY85">
        <v>2463.4169999999999</v>
      </c>
      <c r="BZ85">
        <v>4250.6019999999999</v>
      </c>
      <c r="CA85">
        <v>3.06</v>
      </c>
      <c r="CB85">
        <v>9</v>
      </c>
      <c r="CC85">
        <v>6</v>
      </c>
      <c r="CD85">
        <v>0</v>
      </c>
      <c r="CE85">
        <v>3</v>
      </c>
      <c r="CF85">
        <v>5</v>
      </c>
    </row>
    <row r="86" spans="1:84" x14ac:dyDescent="0.35">
      <c r="A86" t="s">
        <v>87</v>
      </c>
      <c r="B86" t="str">
        <f t="shared" si="4"/>
        <v xml:space="preserve"> il_re_2006_01_18_645</v>
      </c>
      <c r="C86" s="1">
        <f t="shared" si="5"/>
        <v>45748</v>
      </c>
      <c r="D86" t="s">
        <v>78</v>
      </c>
      <c r="E86">
        <v>185.608</v>
      </c>
      <c r="F86">
        <v>184.85</v>
      </c>
      <c r="G86">
        <v>3.2389999999999999</v>
      </c>
      <c r="H86">
        <v>182.66300000000001</v>
      </c>
      <c r="I86">
        <v>0.39509202453987735</v>
      </c>
      <c r="J86">
        <v>204.98</v>
      </c>
      <c r="K86">
        <v>1.3190184049079755E-2</v>
      </c>
      <c r="L86">
        <v>0.40699999999999997</v>
      </c>
      <c r="M86">
        <v>-28.134</v>
      </c>
      <c r="N86">
        <v>604.15599999999995</v>
      </c>
      <c r="O86">
        <v>623.00699999999995</v>
      </c>
      <c r="P86">
        <v>35.137999999999998</v>
      </c>
      <c r="Q86">
        <v>489.50599999999997</v>
      </c>
      <c r="R86">
        <v>756.50900000000001</v>
      </c>
      <c r="S86">
        <v>1097.3530000000001</v>
      </c>
      <c r="T86">
        <v>1068.0119999999999</v>
      </c>
      <c r="U86">
        <v>46.54</v>
      </c>
      <c r="V86">
        <v>979.01099999999997</v>
      </c>
      <c r="W86">
        <v>1290.5150000000001</v>
      </c>
      <c r="X86">
        <v>3082.587</v>
      </c>
      <c r="Y86">
        <v>3070.5349999999999</v>
      </c>
      <c r="Z86">
        <v>124.452</v>
      </c>
      <c r="AA86">
        <v>2759.0309999999999</v>
      </c>
      <c r="AB86">
        <v>3738.0419999999999</v>
      </c>
      <c r="AC86">
        <v>3.26</v>
      </c>
      <c r="AD86">
        <v>189.02099999999999</v>
      </c>
      <c r="AE86">
        <v>187.31800000000001</v>
      </c>
      <c r="AF86">
        <v>4.7160000000000002</v>
      </c>
      <c r="AG86">
        <v>183.31399999999999</v>
      </c>
      <c r="AH86">
        <v>0.97151898734177211</v>
      </c>
      <c r="AI86">
        <v>212.31100000000001</v>
      </c>
      <c r="AJ86">
        <v>6.3291139240506328E-3</v>
      </c>
      <c r="AK86">
        <v>0.38600000000000001</v>
      </c>
      <c r="AL86">
        <v>-28.273</v>
      </c>
      <c r="AM86">
        <v>363.57299999999998</v>
      </c>
      <c r="AN86">
        <v>361.846</v>
      </c>
      <c r="AO86">
        <v>10.352</v>
      </c>
      <c r="AP86">
        <v>316.61500000000001</v>
      </c>
      <c r="AQ86">
        <v>407.077</v>
      </c>
      <c r="AR86">
        <v>2058</v>
      </c>
      <c r="AS86">
        <v>2058</v>
      </c>
      <c r="AT86">
        <v>799.57500000000005</v>
      </c>
      <c r="AU86">
        <v>1492.615</v>
      </c>
      <c r="AV86">
        <v>2623.3850000000002</v>
      </c>
      <c r="AW86">
        <v>3302.4830000000002</v>
      </c>
      <c r="AX86">
        <v>3301.846</v>
      </c>
      <c r="AY86">
        <v>180.19900000000001</v>
      </c>
      <c r="AZ86">
        <v>2894.7689999999998</v>
      </c>
      <c r="BA86">
        <v>3754.154</v>
      </c>
      <c r="BB86">
        <v>3.16</v>
      </c>
      <c r="BC86">
        <v>190.95599999999999</v>
      </c>
      <c r="BD86">
        <v>188.69200000000001</v>
      </c>
      <c r="BE86">
        <v>11.849</v>
      </c>
      <c r="BF86">
        <v>184.74</v>
      </c>
      <c r="BG86">
        <v>0.7359550561797753</v>
      </c>
      <c r="BH86">
        <v>295.97300000000001</v>
      </c>
      <c r="BI86">
        <v>6.1797752808988755E-3</v>
      </c>
      <c r="BJ86">
        <v>0.443</v>
      </c>
      <c r="BK86">
        <v>-29.532</v>
      </c>
      <c r="BL86">
        <v>377.69799999999998</v>
      </c>
      <c r="BM86">
        <v>362.59</v>
      </c>
      <c r="BN86">
        <v>50.432000000000002</v>
      </c>
      <c r="BO86">
        <v>317.26600000000002</v>
      </c>
      <c r="BP86">
        <v>543.88499999999999</v>
      </c>
      <c r="BQ86">
        <v>1167.086</v>
      </c>
      <c r="BR86">
        <v>1155.7550000000001</v>
      </c>
      <c r="BS86">
        <v>175.05</v>
      </c>
      <c r="BT86">
        <v>997.12199999999996</v>
      </c>
      <c r="BU86">
        <v>1359.712</v>
      </c>
      <c r="BV86">
        <v>3234.1320000000001</v>
      </c>
      <c r="BW86">
        <v>3036.6909999999998</v>
      </c>
      <c r="BX86">
        <v>435.572</v>
      </c>
      <c r="BY86">
        <v>2719.424</v>
      </c>
      <c r="BZ86">
        <v>4441.7269999999999</v>
      </c>
      <c r="CA86">
        <v>3.56</v>
      </c>
    </row>
    <row r="87" spans="1:84" x14ac:dyDescent="0.35">
      <c r="A87" t="s">
        <v>166</v>
      </c>
      <c r="B87" t="str">
        <f t="shared" si="4"/>
        <v xml:space="preserve"> ir_ma_2004_10_19_669</v>
      </c>
      <c r="C87" s="1">
        <f t="shared" si="5"/>
        <v>45752</v>
      </c>
      <c r="D87" t="s">
        <v>78</v>
      </c>
      <c r="E87">
        <v>185.446</v>
      </c>
      <c r="F87">
        <v>183.69499999999999</v>
      </c>
      <c r="G87">
        <v>9.3580000000000005</v>
      </c>
      <c r="H87">
        <v>182.124</v>
      </c>
      <c r="I87">
        <v>0.17781249999999998</v>
      </c>
      <c r="J87">
        <v>252</v>
      </c>
      <c r="K87">
        <v>6.2499999999999995E-3</v>
      </c>
      <c r="L87">
        <v>0.629</v>
      </c>
      <c r="M87">
        <v>-23.463000000000001</v>
      </c>
      <c r="N87">
        <v>743.28700000000003</v>
      </c>
      <c r="O87">
        <v>748.95100000000002</v>
      </c>
      <c r="P87">
        <v>40.537999999999997</v>
      </c>
      <c r="Q87">
        <v>616.78300000000002</v>
      </c>
      <c r="R87">
        <v>881.11900000000003</v>
      </c>
      <c r="S87">
        <v>1018.105</v>
      </c>
      <c r="T87">
        <v>1013.287</v>
      </c>
      <c r="U87">
        <v>76.453999999999994</v>
      </c>
      <c r="V87">
        <v>969.23099999999999</v>
      </c>
      <c r="W87">
        <v>1718.182</v>
      </c>
      <c r="X87">
        <v>3314.2660000000001</v>
      </c>
      <c r="Y87">
        <v>3304.1959999999999</v>
      </c>
      <c r="Z87">
        <v>173.29499999999999</v>
      </c>
      <c r="AA87">
        <v>2951.748</v>
      </c>
      <c r="AB87">
        <v>3744.7550000000001</v>
      </c>
      <c r="AC87">
        <v>3.2</v>
      </c>
      <c r="AD87">
        <v>184.16800000000001</v>
      </c>
      <c r="AE87">
        <v>182.82499999999999</v>
      </c>
      <c r="AF87">
        <v>7.4109999999999996</v>
      </c>
      <c r="AG87">
        <v>180.738</v>
      </c>
      <c r="AH87">
        <v>0.51423611111111112</v>
      </c>
      <c r="AI87">
        <v>241.928</v>
      </c>
      <c r="AJ87">
        <v>0</v>
      </c>
      <c r="AK87">
        <v>0.55900000000000005</v>
      </c>
      <c r="AL87">
        <v>-28.457000000000001</v>
      </c>
      <c r="AM87">
        <v>366.505</v>
      </c>
      <c r="AN87">
        <v>348.27199999999999</v>
      </c>
      <c r="AO87">
        <v>31.434000000000001</v>
      </c>
      <c r="AP87">
        <v>348.27199999999999</v>
      </c>
      <c r="AQ87">
        <v>609.47699999999998</v>
      </c>
      <c r="AR87">
        <v>2542.7849999999999</v>
      </c>
      <c r="AS87">
        <v>2524.9749999999999</v>
      </c>
      <c r="AT87">
        <v>68.054000000000002</v>
      </c>
      <c r="AU87">
        <v>2394.373</v>
      </c>
      <c r="AV87">
        <v>2655.5770000000002</v>
      </c>
      <c r="AW87">
        <v>3504.1410000000001</v>
      </c>
      <c r="AX87">
        <v>3526.259</v>
      </c>
      <c r="AY87">
        <v>161.893</v>
      </c>
      <c r="AZ87">
        <v>3177.9859999999999</v>
      </c>
      <c r="BA87">
        <v>3830.9969999999998</v>
      </c>
      <c r="BB87">
        <v>2.88</v>
      </c>
      <c r="BC87">
        <v>185.40899999999999</v>
      </c>
      <c r="BD87">
        <v>183.75</v>
      </c>
      <c r="BE87">
        <v>11.836</v>
      </c>
      <c r="BF87">
        <v>181.69499999999999</v>
      </c>
      <c r="BG87">
        <v>0.19285714285714284</v>
      </c>
      <c r="BH87">
        <v>296.827</v>
      </c>
      <c r="BI87">
        <v>7.1428571428571426E-3</v>
      </c>
      <c r="BJ87">
        <v>0.72199999999999998</v>
      </c>
      <c r="BK87">
        <v>-29.161000000000001</v>
      </c>
      <c r="BL87">
        <v>351.29300000000001</v>
      </c>
      <c r="BM87">
        <v>350.34800000000001</v>
      </c>
      <c r="BN87">
        <v>8282</v>
      </c>
      <c r="BO87">
        <v>350.34800000000001</v>
      </c>
      <c r="BP87">
        <v>437.93400000000003</v>
      </c>
      <c r="BQ87">
        <v>1248.1130000000001</v>
      </c>
      <c r="BR87">
        <v>1248.1130000000001</v>
      </c>
      <c r="BS87">
        <v>154.833</v>
      </c>
      <c r="BT87">
        <v>1138.6300000000001</v>
      </c>
      <c r="BU87">
        <v>1357.597</v>
      </c>
      <c r="BV87">
        <v>3276.0630000000001</v>
      </c>
      <c r="BW87">
        <v>3284.5079999999998</v>
      </c>
      <c r="BX87">
        <v>108.664</v>
      </c>
      <c r="BY87">
        <v>3021.748</v>
      </c>
      <c r="BZ87">
        <v>3591.0630000000001</v>
      </c>
      <c r="CA87">
        <v>3.22</v>
      </c>
    </row>
    <row r="88" spans="1:84" x14ac:dyDescent="0.35">
      <c r="A88" t="s">
        <v>77</v>
      </c>
      <c r="B88" t="str">
        <f t="shared" si="4"/>
        <v xml:space="preserve"> ir_sa_2005_07_04_464</v>
      </c>
      <c r="C88" s="1">
        <f t="shared" si="5"/>
        <v>45717</v>
      </c>
      <c r="D88" t="s">
        <v>78</v>
      </c>
      <c r="E88">
        <v>188.06800000000001</v>
      </c>
      <c r="F88">
        <v>187.31800000000001</v>
      </c>
      <c r="G88">
        <v>7.4539999999999997</v>
      </c>
      <c r="H88">
        <v>184.29900000000001</v>
      </c>
      <c r="I88">
        <v>9.509803921568627E-2</v>
      </c>
      <c r="J88">
        <v>270.78899999999999</v>
      </c>
      <c r="K88">
        <v>7.1895424836601303E-3</v>
      </c>
      <c r="L88">
        <v>0.89200000000000002</v>
      </c>
      <c r="M88">
        <v>-28.675999999999998</v>
      </c>
      <c r="N88">
        <v>577.27599999999995</v>
      </c>
      <c r="O88">
        <v>585</v>
      </c>
      <c r="P88">
        <v>39.225000000000001</v>
      </c>
      <c r="Q88">
        <v>405</v>
      </c>
      <c r="R88">
        <v>720</v>
      </c>
      <c r="S88">
        <v>1324.8530000000001</v>
      </c>
      <c r="T88">
        <v>1305</v>
      </c>
      <c r="U88">
        <v>44.079000000000001</v>
      </c>
      <c r="V88">
        <v>1215</v>
      </c>
      <c r="W88">
        <v>1530</v>
      </c>
      <c r="X88">
        <v>2350.2570000000001</v>
      </c>
      <c r="Y88">
        <v>2340</v>
      </c>
      <c r="Z88">
        <v>208.995</v>
      </c>
      <c r="AA88">
        <v>2160</v>
      </c>
      <c r="AB88">
        <v>4500</v>
      </c>
      <c r="AC88">
        <v>3.06</v>
      </c>
      <c r="AD88">
        <v>196.58699999999999</v>
      </c>
      <c r="AE88">
        <v>196.125</v>
      </c>
      <c r="AF88">
        <v>8.8079999999999998</v>
      </c>
      <c r="AG88">
        <v>106.119</v>
      </c>
      <c r="AH88">
        <v>7.9136690647482015E-3</v>
      </c>
      <c r="AI88">
        <v>215.874</v>
      </c>
      <c r="AJ88">
        <v>0</v>
      </c>
      <c r="AK88">
        <v>1.7310000000000001</v>
      </c>
      <c r="AL88">
        <v>-28.047999999999998</v>
      </c>
      <c r="AM88">
        <v>353.15499999999997</v>
      </c>
      <c r="AN88">
        <v>375.31900000000002</v>
      </c>
      <c r="AO88">
        <v>27.614000000000001</v>
      </c>
      <c r="AP88">
        <v>281.48899999999998</v>
      </c>
      <c r="AQ88">
        <v>375.31900000000002</v>
      </c>
      <c r="AR88">
        <v>2546.1990000000001</v>
      </c>
      <c r="AS88">
        <v>2533.404</v>
      </c>
      <c r="AT88">
        <v>30.960999999999999</v>
      </c>
      <c r="AU88">
        <v>2439.5740000000001</v>
      </c>
      <c r="AV88">
        <v>2627.2339999999999</v>
      </c>
      <c r="AW88">
        <v>3173.8470000000002</v>
      </c>
      <c r="AX88">
        <v>3190.2130000000002</v>
      </c>
      <c r="AY88">
        <v>129.50200000000001</v>
      </c>
      <c r="AZ88">
        <v>2814.8939999999998</v>
      </c>
      <c r="BA88">
        <v>3565.5320000000002</v>
      </c>
      <c r="BB88">
        <v>2.78</v>
      </c>
      <c r="BC88">
        <v>195.27799999999999</v>
      </c>
      <c r="BD88">
        <v>198.012</v>
      </c>
      <c r="BE88">
        <v>17.722000000000001</v>
      </c>
      <c r="BF88">
        <v>98.031000000000006</v>
      </c>
      <c r="BG88">
        <v>0.96011904761904765</v>
      </c>
      <c r="BH88">
        <v>210.429</v>
      </c>
      <c r="BI88">
        <v>0</v>
      </c>
      <c r="BJ88">
        <v>1.5669999999999999</v>
      </c>
      <c r="BK88">
        <v>-29.375</v>
      </c>
      <c r="BL88">
        <v>371.45600000000002</v>
      </c>
      <c r="BM88">
        <v>371.76</v>
      </c>
      <c r="BN88">
        <v>6521</v>
      </c>
      <c r="BO88">
        <v>325.29000000000002</v>
      </c>
      <c r="BP88">
        <v>418.23</v>
      </c>
      <c r="BQ88">
        <v>987.173</v>
      </c>
      <c r="BR88">
        <v>975.86900000000003</v>
      </c>
      <c r="BS88">
        <v>55.207999999999998</v>
      </c>
      <c r="BT88">
        <v>929.399</v>
      </c>
      <c r="BU88">
        <v>1161.749</v>
      </c>
      <c r="BV88">
        <v>3891.7849999999999</v>
      </c>
      <c r="BW88">
        <v>3857.0070000000001</v>
      </c>
      <c r="BX88">
        <v>189.80600000000001</v>
      </c>
      <c r="BY88">
        <v>3299.3679999999999</v>
      </c>
      <c r="BZ88">
        <v>4507.5870000000004</v>
      </c>
      <c r="CA88">
        <v>3.36</v>
      </c>
      <c r="CB88">
        <v>4</v>
      </c>
      <c r="CC88">
        <v>4</v>
      </c>
      <c r="CD88">
        <v>0</v>
      </c>
      <c r="CE88">
        <v>2</v>
      </c>
      <c r="CF88">
        <v>1</v>
      </c>
    </row>
    <row r="89" spans="1:84" x14ac:dyDescent="0.35">
      <c r="A89" t="s">
        <v>88</v>
      </c>
      <c r="B89" t="str">
        <f t="shared" si="4"/>
        <v xml:space="preserve"> ir_te_2005_12_19_790</v>
      </c>
      <c r="C89" s="1">
        <f t="shared" si="5"/>
        <v>45748</v>
      </c>
      <c r="D89" t="s">
        <v>78</v>
      </c>
      <c r="E89">
        <v>196.45099999999999</v>
      </c>
      <c r="F89">
        <v>194.886</v>
      </c>
      <c r="G89">
        <v>6.7729999999999997</v>
      </c>
      <c r="H89">
        <v>191.02699999999999</v>
      </c>
      <c r="I89">
        <v>0.86699999999999999</v>
      </c>
      <c r="J89">
        <v>246.369</v>
      </c>
      <c r="K89">
        <v>0</v>
      </c>
      <c r="L89">
        <v>0.55500000000000005</v>
      </c>
      <c r="M89">
        <v>-29.175000000000001</v>
      </c>
      <c r="N89">
        <v>331.05700000000002</v>
      </c>
      <c r="O89">
        <v>330.51400000000001</v>
      </c>
      <c r="P89">
        <v>5062</v>
      </c>
      <c r="Q89">
        <v>330.51400000000001</v>
      </c>
      <c r="R89">
        <v>377.73</v>
      </c>
      <c r="S89">
        <v>2518.3719999999998</v>
      </c>
      <c r="T89">
        <v>2502.4630000000002</v>
      </c>
      <c r="U89">
        <v>30.733000000000001</v>
      </c>
      <c r="V89">
        <v>2455.2460000000001</v>
      </c>
      <c r="W89">
        <v>2549.6790000000001</v>
      </c>
      <c r="X89">
        <v>3614.33</v>
      </c>
      <c r="Y89">
        <v>3588.4369999999999</v>
      </c>
      <c r="Z89">
        <v>85.974999999999994</v>
      </c>
      <c r="AA89">
        <v>3446.788</v>
      </c>
      <c r="AB89">
        <v>4060.6</v>
      </c>
      <c r="AC89">
        <v>2</v>
      </c>
      <c r="AD89">
        <v>198.70599999999999</v>
      </c>
      <c r="AE89">
        <v>197.631</v>
      </c>
      <c r="AF89">
        <v>4.9589999999999996</v>
      </c>
      <c r="AG89">
        <v>194.15100000000001</v>
      </c>
      <c r="AH89">
        <v>0.92178217821782182</v>
      </c>
      <c r="AI89">
        <v>235.82900000000001</v>
      </c>
      <c r="AJ89">
        <v>0</v>
      </c>
      <c r="AK89">
        <v>0.42399999999999999</v>
      </c>
      <c r="AL89">
        <v>-28.393999999999998</v>
      </c>
      <c r="AM89">
        <v>334.98399999999998</v>
      </c>
      <c r="AN89">
        <v>334.45299999999997</v>
      </c>
      <c r="AO89">
        <v>13.388999999999999</v>
      </c>
      <c r="AP89">
        <v>286.67399999999998</v>
      </c>
      <c r="AQ89">
        <v>382.23200000000003</v>
      </c>
      <c r="AR89">
        <v>2489.5360000000001</v>
      </c>
      <c r="AS89">
        <v>2532.2860000000001</v>
      </c>
      <c r="AT89">
        <v>109.414</v>
      </c>
      <c r="AU89">
        <v>1528.9269999999999</v>
      </c>
      <c r="AV89">
        <v>2580.0650000000001</v>
      </c>
      <c r="AW89">
        <v>3713.181</v>
      </c>
      <c r="AX89">
        <v>3726.761</v>
      </c>
      <c r="AY89">
        <v>133.81399999999999</v>
      </c>
      <c r="AZ89">
        <v>3105.634</v>
      </c>
      <c r="BA89">
        <v>4204.55</v>
      </c>
      <c r="BB89">
        <v>2.02</v>
      </c>
      <c r="BC89">
        <v>203.32400000000001</v>
      </c>
      <c r="BD89">
        <v>203.15899999999999</v>
      </c>
      <c r="BE89">
        <v>2.827</v>
      </c>
      <c r="BF89">
        <v>198.13900000000001</v>
      </c>
      <c r="BG89">
        <v>0.88437500000000002</v>
      </c>
      <c r="BH89">
        <v>216.93600000000001</v>
      </c>
      <c r="BI89">
        <v>0.9993749999999999</v>
      </c>
      <c r="BJ89">
        <v>0.48699999999999999</v>
      </c>
      <c r="BK89">
        <v>-29.704999999999998</v>
      </c>
      <c r="BL89">
        <v>353.38499999999999</v>
      </c>
      <c r="BM89">
        <v>345.68900000000002</v>
      </c>
      <c r="BN89">
        <v>21.294</v>
      </c>
      <c r="BO89">
        <v>296.30500000000001</v>
      </c>
      <c r="BP89">
        <v>395.07299999999998</v>
      </c>
      <c r="BQ89">
        <v>2547.1799999999998</v>
      </c>
      <c r="BR89">
        <v>2617.357</v>
      </c>
      <c r="BS89">
        <v>174.74299999999999</v>
      </c>
      <c r="BT89">
        <v>1629.675</v>
      </c>
      <c r="BU89">
        <v>2666.741</v>
      </c>
      <c r="BV89">
        <v>3349.8879999999999</v>
      </c>
      <c r="BW89">
        <v>3358.1190000000001</v>
      </c>
      <c r="BX89">
        <v>233.18799999999999</v>
      </c>
      <c r="BY89">
        <v>2864.2779999999998</v>
      </c>
      <c r="BZ89">
        <v>4098.88</v>
      </c>
      <c r="CA89">
        <v>1.6</v>
      </c>
    </row>
    <row r="90" spans="1:84" x14ac:dyDescent="0.35">
      <c r="A90" t="s">
        <v>89</v>
      </c>
      <c r="B90" t="str">
        <f t="shared" si="4"/>
        <v xml:space="preserve"> je_le_2005_12_23_699</v>
      </c>
      <c r="C90" s="1">
        <f t="shared" si="5"/>
        <v>45748</v>
      </c>
      <c r="D90" t="s">
        <v>78</v>
      </c>
      <c r="E90">
        <v>209.12299999999999</v>
      </c>
      <c r="F90">
        <v>206.76499999999999</v>
      </c>
      <c r="G90">
        <v>14.510999999999999</v>
      </c>
      <c r="H90">
        <v>201.63300000000001</v>
      </c>
      <c r="I90">
        <v>6.1148648648648649E-2</v>
      </c>
      <c r="J90">
        <v>311.19</v>
      </c>
      <c r="K90">
        <v>6.7567567567567571E-3</v>
      </c>
      <c r="L90">
        <v>0.71299999999999997</v>
      </c>
      <c r="M90">
        <v>-26.555</v>
      </c>
      <c r="N90">
        <v>708.34900000000005</v>
      </c>
      <c r="O90">
        <v>703.18899999999996</v>
      </c>
      <c r="P90">
        <v>101.614</v>
      </c>
      <c r="Q90">
        <v>251.13900000000001</v>
      </c>
      <c r="R90">
        <v>904.1</v>
      </c>
      <c r="S90">
        <v>1310.7059999999999</v>
      </c>
      <c r="T90">
        <v>1305.923</v>
      </c>
      <c r="U90">
        <v>101.879</v>
      </c>
      <c r="V90">
        <v>954.32799999999997</v>
      </c>
      <c r="W90">
        <v>1707.7449999999999</v>
      </c>
      <c r="X90">
        <v>2275.9679999999998</v>
      </c>
      <c r="Y90">
        <v>2260.2510000000002</v>
      </c>
      <c r="Z90">
        <v>142.40600000000001</v>
      </c>
      <c r="AA90">
        <v>2059.3389999999999</v>
      </c>
      <c r="AB90">
        <v>2762.5279999999998</v>
      </c>
      <c r="AC90">
        <v>2.96</v>
      </c>
      <c r="AD90">
        <v>202.102</v>
      </c>
      <c r="AE90">
        <v>209.715</v>
      </c>
      <c r="AF90">
        <v>28.931000000000001</v>
      </c>
      <c r="AG90">
        <v>104.32599999999999</v>
      </c>
      <c r="AH90">
        <v>0.91338028169014085</v>
      </c>
      <c r="AI90">
        <v>223.04900000000001</v>
      </c>
      <c r="AJ90">
        <v>7.0422535211267607E-3</v>
      </c>
      <c r="AK90">
        <v>4.5869999999999997</v>
      </c>
      <c r="AL90">
        <v>-23.306000000000001</v>
      </c>
      <c r="AM90">
        <v>334.89100000000002</v>
      </c>
      <c r="AN90">
        <v>342.61900000000003</v>
      </c>
      <c r="AO90">
        <v>17.914999999999999</v>
      </c>
      <c r="AP90">
        <v>293.67399999999998</v>
      </c>
      <c r="AQ90">
        <v>342.61900000000003</v>
      </c>
      <c r="AR90">
        <v>2500.9630000000002</v>
      </c>
      <c r="AS90">
        <v>2545.172</v>
      </c>
      <c r="AT90">
        <v>137.50299999999999</v>
      </c>
      <c r="AU90">
        <v>1810.9880000000001</v>
      </c>
      <c r="AV90">
        <v>2594.1179999999999</v>
      </c>
      <c r="AW90">
        <v>3007.4760000000001</v>
      </c>
      <c r="AX90">
        <v>2985.683</v>
      </c>
      <c r="AY90">
        <v>160.13999999999999</v>
      </c>
      <c r="AZ90">
        <v>2789.9</v>
      </c>
      <c r="BA90">
        <v>3621.9760000000001</v>
      </c>
      <c r="BB90">
        <v>2.84</v>
      </c>
      <c r="BC90">
        <v>210.52600000000001</v>
      </c>
      <c r="BD90">
        <v>210.429</v>
      </c>
      <c r="BE90">
        <v>2.2349999999999999</v>
      </c>
      <c r="BF90">
        <v>207.46</v>
      </c>
      <c r="BG90">
        <v>2.7397260273972605E-2</v>
      </c>
      <c r="BH90">
        <v>229.68799999999999</v>
      </c>
      <c r="BI90">
        <v>0</v>
      </c>
      <c r="BJ90">
        <v>0.313</v>
      </c>
      <c r="BK90">
        <v>-30.213000000000001</v>
      </c>
      <c r="BL90">
        <v>405.04399999999998</v>
      </c>
      <c r="BM90">
        <v>403.661</v>
      </c>
      <c r="BN90">
        <v>36.981999999999999</v>
      </c>
      <c r="BO90">
        <v>353.20400000000001</v>
      </c>
      <c r="BP90">
        <v>504.577</v>
      </c>
      <c r="BQ90">
        <v>1147.0709999999999</v>
      </c>
      <c r="BR90">
        <v>1160.5260000000001</v>
      </c>
      <c r="BS90">
        <v>77.093999999999994</v>
      </c>
      <c r="BT90">
        <v>1009.153</v>
      </c>
      <c r="BU90">
        <v>1362.357</v>
      </c>
      <c r="BV90">
        <v>3388.9580000000001</v>
      </c>
      <c r="BW90">
        <v>3431.1210000000001</v>
      </c>
      <c r="BX90">
        <v>212.595</v>
      </c>
      <c r="BY90">
        <v>2724.7139999999999</v>
      </c>
      <c r="BZ90">
        <v>3733.8670000000002</v>
      </c>
      <c r="CA90">
        <v>2.92</v>
      </c>
      <c r="CB90">
        <v>8</v>
      </c>
      <c r="CC90">
        <v>3</v>
      </c>
      <c r="CD90">
        <v>3</v>
      </c>
      <c r="CE90">
        <v>6</v>
      </c>
      <c r="CF90">
        <v>7</v>
      </c>
    </row>
    <row r="91" spans="1:84" x14ac:dyDescent="0.35">
      <c r="A91" t="s">
        <v>201</v>
      </c>
      <c r="B91" t="str">
        <f t="shared" si="4"/>
        <v xml:space="preserve"> je_ma_2005_01_13_962</v>
      </c>
      <c r="C91" s="1">
        <f t="shared" si="5"/>
        <v>45800</v>
      </c>
      <c r="D91" t="s">
        <v>78</v>
      </c>
      <c r="E91">
        <v>153.86199999999999</v>
      </c>
      <c r="F91">
        <v>155.989</v>
      </c>
      <c r="G91">
        <v>8.2330000000000005</v>
      </c>
      <c r="H91">
        <v>123.678</v>
      </c>
      <c r="I91">
        <v>0</v>
      </c>
      <c r="J91">
        <v>163.24700000000001</v>
      </c>
      <c r="K91">
        <v>5.6000000000000001E-2</v>
      </c>
      <c r="L91">
        <v>2.4950000000000001</v>
      </c>
      <c r="M91">
        <v>-20.905000000000001</v>
      </c>
      <c r="N91">
        <v>621.57799999999997</v>
      </c>
      <c r="O91">
        <v>615.16999999999996</v>
      </c>
      <c r="P91">
        <v>42.220999999999997</v>
      </c>
      <c r="Q91">
        <v>576.72199999999998</v>
      </c>
      <c r="R91">
        <v>730.51400000000001</v>
      </c>
      <c r="S91">
        <v>1062.816</v>
      </c>
      <c r="T91">
        <v>1057.3230000000001</v>
      </c>
      <c r="U91">
        <v>28.641999999999999</v>
      </c>
      <c r="V91">
        <v>1038.0989999999999</v>
      </c>
      <c r="W91">
        <v>1114.9960000000001</v>
      </c>
      <c r="X91">
        <v>2373.1039999999998</v>
      </c>
      <c r="Y91">
        <v>2326.1120000000001</v>
      </c>
      <c r="Z91">
        <v>125.667</v>
      </c>
      <c r="AA91">
        <v>2229.991</v>
      </c>
      <c r="AB91">
        <v>2691.3690000000001</v>
      </c>
      <c r="AC91">
        <v>0.5</v>
      </c>
      <c r="AD91">
        <v>196.88300000000001</v>
      </c>
      <c r="AE91">
        <v>173.232</v>
      </c>
      <c r="AF91">
        <v>46.558</v>
      </c>
      <c r="AG91">
        <v>169.989</v>
      </c>
      <c r="AH91">
        <v>0.47166666666666662</v>
      </c>
      <c r="AI91">
        <v>301.17099999999999</v>
      </c>
      <c r="AJ91">
        <v>0.94333333333333325</v>
      </c>
      <c r="AK91">
        <v>5.8449999999999998</v>
      </c>
      <c r="AL91">
        <v>-22.675000000000001</v>
      </c>
      <c r="AM91">
        <v>351.73899999999998</v>
      </c>
      <c r="AN91">
        <v>353.50700000000001</v>
      </c>
      <c r="AO91">
        <v>41.295000000000002</v>
      </c>
      <c r="AP91">
        <v>309.31900000000002</v>
      </c>
      <c r="AQ91">
        <v>530.26099999999997</v>
      </c>
      <c r="AR91">
        <v>1967.546</v>
      </c>
      <c r="AS91">
        <v>1900.1</v>
      </c>
      <c r="AT91">
        <v>340.173</v>
      </c>
      <c r="AU91">
        <v>1502.405</v>
      </c>
      <c r="AV91">
        <v>2562.9259999999999</v>
      </c>
      <c r="AW91">
        <v>3227.5189999999998</v>
      </c>
      <c r="AX91">
        <v>3314.1280000000002</v>
      </c>
      <c r="AY91">
        <v>315.17599999999999</v>
      </c>
      <c r="AZ91">
        <v>2474.549</v>
      </c>
      <c r="BA91">
        <v>3623.4470000000001</v>
      </c>
      <c r="BB91">
        <v>0.6</v>
      </c>
      <c r="BC91">
        <v>185.024</v>
      </c>
      <c r="BD91">
        <v>187.20400000000001</v>
      </c>
      <c r="BE91">
        <v>11.558</v>
      </c>
      <c r="BF91">
        <v>130.63900000000001</v>
      </c>
      <c r="BG91">
        <v>0</v>
      </c>
      <c r="BH91">
        <v>200.45500000000001</v>
      </c>
      <c r="BI91">
        <v>0.94545454545454544</v>
      </c>
      <c r="BJ91">
        <v>2.3370000000000002</v>
      </c>
      <c r="BK91">
        <v>-26.297000000000001</v>
      </c>
      <c r="BL91">
        <v>375.07400000000001</v>
      </c>
      <c r="BM91">
        <v>389.5</v>
      </c>
      <c r="BN91">
        <v>24.006</v>
      </c>
      <c r="BO91">
        <v>346.22199999999998</v>
      </c>
      <c r="BP91">
        <v>432.77699999999999</v>
      </c>
      <c r="BQ91">
        <v>1118.809</v>
      </c>
      <c r="BR91">
        <v>1125.221</v>
      </c>
      <c r="BS91">
        <v>58.439</v>
      </c>
      <c r="BT91">
        <v>1038.665</v>
      </c>
      <c r="BU91">
        <v>1255.0540000000001</v>
      </c>
      <c r="BV91">
        <v>3178.5079999999998</v>
      </c>
      <c r="BW91">
        <v>3245.8290000000002</v>
      </c>
      <c r="BX91">
        <v>214.15799999999999</v>
      </c>
      <c r="BY91">
        <v>2813.0520000000001</v>
      </c>
      <c r="BZ91">
        <v>3548.7730000000001</v>
      </c>
      <c r="CA91">
        <v>0.66</v>
      </c>
      <c r="CB91">
        <v>4</v>
      </c>
      <c r="CC91">
        <v>1</v>
      </c>
      <c r="CD91">
        <v>0</v>
      </c>
      <c r="CE91">
        <v>6</v>
      </c>
      <c r="CF91">
        <v>0</v>
      </c>
    </row>
    <row r="92" spans="1:84" x14ac:dyDescent="0.35">
      <c r="A92" t="s">
        <v>145</v>
      </c>
      <c r="B92" t="str">
        <f t="shared" si="4"/>
        <v xml:space="preserve"> ke_zh_2005_05_28_685</v>
      </c>
      <c r="C92" s="1">
        <f t="shared" si="5"/>
        <v>45751</v>
      </c>
      <c r="D92" t="s">
        <v>78</v>
      </c>
      <c r="E92">
        <v>241.619</v>
      </c>
      <c r="F92">
        <v>242.11799999999999</v>
      </c>
      <c r="G92">
        <v>5.6360000000000001</v>
      </c>
      <c r="H92">
        <v>192.57599999999999</v>
      </c>
      <c r="I92">
        <v>0.99097560975609755</v>
      </c>
      <c r="J92">
        <v>252</v>
      </c>
      <c r="K92">
        <v>4.8780487804878057E-3</v>
      </c>
      <c r="L92">
        <v>0.56299999999999994</v>
      </c>
      <c r="M92">
        <v>-19.327999999999999</v>
      </c>
      <c r="N92">
        <v>862.899</v>
      </c>
      <c r="O92">
        <v>879.654</v>
      </c>
      <c r="P92">
        <v>72.334000000000003</v>
      </c>
      <c r="Q92">
        <v>703.72299999999996</v>
      </c>
      <c r="R92">
        <v>1055.585</v>
      </c>
      <c r="S92">
        <v>1309.8720000000001</v>
      </c>
      <c r="T92">
        <v>1290.1600000000001</v>
      </c>
      <c r="U92">
        <v>48.948</v>
      </c>
      <c r="V92">
        <v>1172.8720000000001</v>
      </c>
      <c r="W92">
        <v>1524.7339999999999</v>
      </c>
      <c r="X92">
        <v>3198.0479999999998</v>
      </c>
      <c r="Y92">
        <v>3225.3989999999999</v>
      </c>
      <c r="Z92">
        <v>222.22499999999999</v>
      </c>
      <c r="AA92">
        <v>2404.3879999999999</v>
      </c>
      <c r="AB92">
        <v>3929.1219999999998</v>
      </c>
      <c r="AC92">
        <v>4.0999999999999996</v>
      </c>
      <c r="AD92">
        <v>244.02</v>
      </c>
      <c r="AE92">
        <v>243.64599999999999</v>
      </c>
      <c r="AF92">
        <v>3.4260000000000002</v>
      </c>
      <c r="AG92">
        <v>234.57400000000001</v>
      </c>
      <c r="AH92">
        <v>0.99305555555555547</v>
      </c>
      <c r="AI92">
        <v>268.90199999999999</v>
      </c>
      <c r="AJ92">
        <v>0</v>
      </c>
      <c r="AK92">
        <v>0.33</v>
      </c>
      <c r="AL92">
        <v>-30.332000000000001</v>
      </c>
      <c r="AM92">
        <v>300.03399999999999</v>
      </c>
      <c r="AN92">
        <v>297.17</v>
      </c>
      <c r="AO92">
        <v>13.827</v>
      </c>
      <c r="AP92">
        <v>297.17</v>
      </c>
      <c r="AQ92">
        <v>416.03800000000001</v>
      </c>
      <c r="AR92">
        <v>1888.4659999999999</v>
      </c>
      <c r="AS92">
        <v>1901.8869999999999</v>
      </c>
      <c r="AT92">
        <v>99.108000000000004</v>
      </c>
      <c r="AU92">
        <v>1485.8489999999999</v>
      </c>
      <c r="AV92">
        <v>2139.623</v>
      </c>
      <c r="AW92">
        <v>4068.5459999999998</v>
      </c>
      <c r="AX92">
        <v>4041.509</v>
      </c>
      <c r="AY92">
        <v>146.78299999999999</v>
      </c>
      <c r="AZ92">
        <v>3744.34</v>
      </c>
      <c r="BA92">
        <v>4754.7169999999996</v>
      </c>
      <c r="BB92">
        <v>4.32</v>
      </c>
      <c r="BC92">
        <v>249.45</v>
      </c>
      <c r="BD92">
        <v>248.15100000000001</v>
      </c>
      <c r="BE92">
        <v>5.7279999999999998</v>
      </c>
      <c r="BF92">
        <v>243.64599999999999</v>
      </c>
      <c r="BG92">
        <v>0</v>
      </c>
      <c r="BH92">
        <v>297.97300000000001</v>
      </c>
      <c r="BI92">
        <v>0.97831632653061229</v>
      </c>
      <c r="BJ92">
        <v>0.42499999999999999</v>
      </c>
      <c r="BK92">
        <v>-31.815999999999999</v>
      </c>
      <c r="BL92">
        <v>372.44200000000001</v>
      </c>
      <c r="BM92">
        <v>364.46300000000002</v>
      </c>
      <c r="BN92">
        <v>30.417999999999999</v>
      </c>
      <c r="BO92">
        <v>303.71899999999999</v>
      </c>
      <c r="BP92">
        <v>728.92600000000004</v>
      </c>
      <c r="BQ92">
        <v>1079.8900000000001</v>
      </c>
      <c r="BR92">
        <v>1093.3879999999999</v>
      </c>
      <c r="BS92">
        <v>59.031999999999996</v>
      </c>
      <c r="BT92">
        <v>1032.645</v>
      </c>
      <c r="BU92">
        <v>1214.876</v>
      </c>
      <c r="BV92">
        <v>3874.2190000000001</v>
      </c>
      <c r="BW92">
        <v>3826.86</v>
      </c>
      <c r="BX92">
        <v>245.37200000000001</v>
      </c>
      <c r="BY92">
        <v>3462.3969999999999</v>
      </c>
      <c r="BZ92">
        <v>4859.5039999999999</v>
      </c>
      <c r="CA92">
        <v>3.92</v>
      </c>
      <c r="CB92">
        <v>3</v>
      </c>
      <c r="CC92">
        <v>4</v>
      </c>
      <c r="CD92">
        <v>3</v>
      </c>
      <c r="CE92">
        <v>3</v>
      </c>
      <c r="CF92">
        <v>1</v>
      </c>
    </row>
    <row r="93" spans="1:84" x14ac:dyDescent="0.35">
      <c r="A93" t="s">
        <v>188</v>
      </c>
      <c r="B93" t="str">
        <f t="shared" si="4"/>
        <v xml:space="preserve"> la_fi_2000_01_21_047</v>
      </c>
      <c r="C93" s="1">
        <f t="shared" si="5"/>
        <v>45753</v>
      </c>
      <c r="D93" t="s">
        <v>78</v>
      </c>
      <c r="E93">
        <v>147.28299999999999</v>
      </c>
      <c r="F93">
        <v>146.86000000000001</v>
      </c>
      <c r="G93">
        <v>2.87</v>
      </c>
      <c r="H93">
        <v>136.53299999999999</v>
      </c>
      <c r="I93">
        <v>0.99215116279069759</v>
      </c>
      <c r="J93">
        <v>163.506</v>
      </c>
      <c r="K93">
        <v>0</v>
      </c>
      <c r="L93">
        <v>0.754</v>
      </c>
      <c r="M93">
        <v>-13.794</v>
      </c>
      <c r="N93">
        <v>735.87900000000002</v>
      </c>
      <c r="O93">
        <v>738.51700000000005</v>
      </c>
      <c r="P93">
        <v>71.385000000000005</v>
      </c>
      <c r="Q93">
        <v>527.51199999999994</v>
      </c>
      <c r="R93">
        <v>1055.0239999999999</v>
      </c>
      <c r="S93">
        <v>1215.0360000000001</v>
      </c>
      <c r="T93">
        <v>1195.694</v>
      </c>
      <c r="U93">
        <v>66.358999999999995</v>
      </c>
      <c r="V93">
        <v>1125.3589999999999</v>
      </c>
      <c r="W93">
        <v>1758.373</v>
      </c>
      <c r="X93">
        <v>2590.9630000000002</v>
      </c>
      <c r="Y93">
        <v>2567.2249999999999</v>
      </c>
      <c r="Z93">
        <v>78.061000000000007</v>
      </c>
      <c r="AA93">
        <v>2426.5549999999998</v>
      </c>
      <c r="AB93">
        <v>2848.5650000000001</v>
      </c>
      <c r="AC93">
        <v>3.44</v>
      </c>
      <c r="AD93">
        <v>151.49700000000001</v>
      </c>
      <c r="AE93">
        <v>150.512</v>
      </c>
      <c r="AF93">
        <v>6.2549999999999999</v>
      </c>
      <c r="AG93">
        <v>143.18199999999999</v>
      </c>
      <c r="AH93">
        <v>0.99363057324840764</v>
      </c>
      <c r="AI93">
        <v>206.07499999999999</v>
      </c>
      <c r="AJ93">
        <v>0.98471337579617835</v>
      </c>
      <c r="AK93">
        <v>1.196</v>
      </c>
      <c r="AL93">
        <v>-26.231000000000002</v>
      </c>
      <c r="AM93">
        <v>304.70400000000001</v>
      </c>
      <c r="AN93">
        <v>288.94299999999998</v>
      </c>
      <c r="AO93">
        <v>17.994</v>
      </c>
      <c r="AP93">
        <v>288.94299999999998</v>
      </c>
      <c r="AQ93">
        <v>325.06099999999998</v>
      </c>
      <c r="AR93">
        <v>2572.172</v>
      </c>
      <c r="AS93">
        <v>2564.373</v>
      </c>
      <c r="AT93">
        <v>36.51</v>
      </c>
      <c r="AU93">
        <v>2492.1379999999999</v>
      </c>
      <c r="AV93">
        <v>2636.6089999999999</v>
      </c>
      <c r="AW93">
        <v>3066.4769999999999</v>
      </c>
      <c r="AX93">
        <v>3070.0250000000001</v>
      </c>
      <c r="AY93">
        <v>93.125</v>
      </c>
      <c r="AZ93">
        <v>2781.0810000000001</v>
      </c>
      <c r="BA93">
        <v>3322.85</v>
      </c>
      <c r="BB93">
        <v>3.14</v>
      </c>
      <c r="BC93">
        <v>154.01</v>
      </c>
      <c r="BD93">
        <v>152.55799999999999</v>
      </c>
      <c r="BE93">
        <v>4.306</v>
      </c>
      <c r="BF93">
        <v>149.203</v>
      </c>
      <c r="BG93">
        <v>0.60030864197530864</v>
      </c>
      <c r="BH93">
        <v>180.95</v>
      </c>
      <c r="BI93">
        <v>0.9907407407407407</v>
      </c>
      <c r="BJ93">
        <v>0.64800000000000002</v>
      </c>
      <c r="BK93">
        <v>-25.669</v>
      </c>
      <c r="BL93">
        <v>331.13200000000001</v>
      </c>
      <c r="BM93">
        <v>330.2</v>
      </c>
      <c r="BN93">
        <v>7526</v>
      </c>
      <c r="BO93">
        <v>330.2</v>
      </c>
      <c r="BP93">
        <v>403.577</v>
      </c>
      <c r="BQ93">
        <v>1092.9649999999999</v>
      </c>
      <c r="BR93">
        <v>1100.6659999999999</v>
      </c>
      <c r="BS93">
        <v>35.151000000000003</v>
      </c>
      <c r="BT93">
        <v>1027.288</v>
      </c>
      <c r="BU93">
        <v>1284.1099999999999</v>
      </c>
      <c r="BV93">
        <v>3147.779</v>
      </c>
      <c r="BW93">
        <v>3155.241</v>
      </c>
      <c r="BX93">
        <v>158.989</v>
      </c>
      <c r="BY93">
        <v>2678.2860000000001</v>
      </c>
      <c r="BZ93">
        <v>3558.819</v>
      </c>
      <c r="CA93">
        <v>3.24</v>
      </c>
      <c r="CB93">
        <v>5</v>
      </c>
      <c r="CC93">
        <v>5</v>
      </c>
      <c r="CD93">
        <v>0</v>
      </c>
      <c r="CE93">
        <v>7</v>
      </c>
      <c r="CF93">
        <v>0</v>
      </c>
    </row>
    <row r="94" spans="1:84" x14ac:dyDescent="0.35">
      <c r="A94" t="s">
        <v>189</v>
      </c>
      <c r="B94" t="str">
        <f t="shared" si="4"/>
        <v xml:space="preserve"> la_ma_2004_05_16_992</v>
      </c>
      <c r="C94" s="1">
        <f t="shared" si="5"/>
        <v>45753</v>
      </c>
      <c r="D94" t="s">
        <v>78</v>
      </c>
      <c r="E94">
        <v>198.499</v>
      </c>
      <c r="F94">
        <v>198.393</v>
      </c>
      <c r="G94">
        <v>3.1040000000000001</v>
      </c>
      <c r="H94">
        <v>189.619</v>
      </c>
      <c r="I94">
        <v>3.906976744186047E-2</v>
      </c>
      <c r="J94">
        <v>229.006</v>
      </c>
      <c r="K94">
        <v>0</v>
      </c>
      <c r="L94">
        <v>0.311</v>
      </c>
      <c r="M94">
        <v>-24.196000000000002</v>
      </c>
      <c r="N94">
        <v>712.68399999999997</v>
      </c>
      <c r="O94">
        <v>716.68499999999995</v>
      </c>
      <c r="P94">
        <v>38.853000000000002</v>
      </c>
      <c r="Q94">
        <v>525.56899999999996</v>
      </c>
      <c r="R94">
        <v>860.02200000000005</v>
      </c>
      <c r="S94">
        <v>1174.2329999999999</v>
      </c>
      <c r="T94">
        <v>1194.4749999999999</v>
      </c>
      <c r="U94">
        <v>42.198</v>
      </c>
      <c r="V94">
        <v>1098.9169999999999</v>
      </c>
      <c r="W94">
        <v>1481.1479999999999</v>
      </c>
      <c r="X94">
        <v>2605.1260000000002</v>
      </c>
      <c r="Y94">
        <v>2580.0650000000001</v>
      </c>
      <c r="Z94">
        <v>122.15300000000001</v>
      </c>
      <c r="AA94">
        <v>2341.17</v>
      </c>
      <c r="AB94">
        <v>3057.855</v>
      </c>
      <c r="AC94">
        <v>4.3</v>
      </c>
      <c r="AD94">
        <v>200.05600000000001</v>
      </c>
      <c r="AE94">
        <v>199.67699999999999</v>
      </c>
      <c r="AF94">
        <v>3.3079999999999998</v>
      </c>
      <c r="AG94">
        <v>194.886</v>
      </c>
      <c r="AH94">
        <v>1.9856459330143544E-2</v>
      </c>
      <c r="AI94">
        <v>231.40899999999999</v>
      </c>
      <c r="AJ94">
        <v>5.0239234449760773E-3</v>
      </c>
      <c r="AK94">
        <v>0.42</v>
      </c>
      <c r="AL94">
        <v>-26.783999999999999</v>
      </c>
      <c r="AM94">
        <v>349.19900000000001</v>
      </c>
      <c r="AN94">
        <v>337.37700000000001</v>
      </c>
      <c r="AO94">
        <v>43.218000000000004</v>
      </c>
      <c r="AP94">
        <v>289.18</v>
      </c>
      <c r="AQ94">
        <v>626.55700000000002</v>
      </c>
      <c r="AR94">
        <v>2115.3009999999999</v>
      </c>
      <c r="AS94">
        <v>2120.6559999999999</v>
      </c>
      <c r="AT94">
        <v>210.98599999999999</v>
      </c>
      <c r="AU94">
        <v>1638.6890000000001</v>
      </c>
      <c r="AV94">
        <v>2458.0329999999999</v>
      </c>
      <c r="AW94">
        <v>3763.9229999999998</v>
      </c>
      <c r="AX94">
        <v>3759.3440000000001</v>
      </c>
      <c r="AY94">
        <v>176.977</v>
      </c>
      <c r="AZ94">
        <v>3036.393</v>
      </c>
      <c r="BA94">
        <v>4289.5079999999998</v>
      </c>
      <c r="BB94">
        <v>4.18</v>
      </c>
      <c r="BC94">
        <v>199.84299999999999</v>
      </c>
      <c r="BD94">
        <v>199.80600000000001</v>
      </c>
      <c r="BE94">
        <v>1.879</v>
      </c>
      <c r="BF94">
        <v>195.876</v>
      </c>
      <c r="BG94">
        <v>4.0931372549019608E-2</v>
      </c>
      <c r="BH94">
        <v>215.72300000000001</v>
      </c>
      <c r="BI94">
        <v>4.9019607843137254E-3</v>
      </c>
      <c r="BJ94">
        <v>0.35399999999999998</v>
      </c>
      <c r="BK94">
        <v>-27.582999999999998</v>
      </c>
      <c r="BL94">
        <v>377.959</v>
      </c>
      <c r="BM94">
        <v>384.31400000000002</v>
      </c>
      <c r="BN94">
        <v>17.759</v>
      </c>
      <c r="BO94">
        <v>336.27499999999998</v>
      </c>
      <c r="BP94">
        <v>432.35300000000001</v>
      </c>
      <c r="BQ94">
        <v>1114.8989999999999</v>
      </c>
      <c r="BR94">
        <v>1104.902</v>
      </c>
      <c r="BS94">
        <v>47.548999999999999</v>
      </c>
      <c r="BT94">
        <v>1008.824</v>
      </c>
      <c r="BU94">
        <v>1345.098</v>
      </c>
      <c r="BV94">
        <v>3200.5509999999999</v>
      </c>
      <c r="BW94">
        <v>3218.627</v>
      </c>
      <c r="BX94">
        <v>216.709</v>
      </c>
      <c r="BY94">
        <v>2498.0390000000002</v>
      </c>
      <c r="BZ94">
        <v>3650.98</v>
      </c>
      <c r="CA94">
        <v>4.08</v>
      </c>
    </row>
    <row r="95" spans="1:84" x14ac:dyDescent="0.35">
      <c r="A95" t="s">
        <v>190</v>
      </c>
      <c r="B95" t="str">
        <f t="shared" ref="B95:B126" si="6">_xlfn.TEXTAFTER(A95,"-")</f>
        <v xml:space="preserve"> la_ma_2006_01_31_787</v>
      </c>
      <c r="C95" s="1">
        <f t="shared" si="5"/>
        <v>45753</v>
      </c>
      <c r="D95" t="s">
        <v>78</v>
      </c>
      <c r="E95">
        <v>231.572</v>
      </c>
      <c r="F95">
        <v>231.583</v>
      </c>
      <c r="G95">
        <v>2.9820000000000002</v>
      </c>
      <c r="H95">
        <v>221.13200000000001</v>
      </c>
      <c r="I95">
        <v>6.2111801242236021E-3</v>
      </c>
      <c r="J95">
        <v>238.74700000000001</v>
      </c>
      <c r="K95">
        <v>0.44968944099378877</v>
      </c>
      <c r="L95">
        <v>0.435</v>
      </c>
      <c r="M95">
        <v>-36.026000000000003</v>
      </c>
      <c r="N95">
        <v>256.11200000000002</v>
      </c>
      <c r="O95">
        <v>281.60899999999998</v>
      </c>
      <c r="P95">
        <v>28.13</v>
      </c>
      <c r="Q95">
        <v>225.28700000000001</v>
      </c>
      <c r="R95">
        <v>281.60899999999998</v>
      </c>
      <c r="S95">
        <v>2087.0079999999998</v>
      </c>
      <c r="T95">
        <v>2140.23</v>
      </c>
      <c r="U95">
        <v>184.876</v>
      </c>
      <c r="V95">
        <v>1464.3679999999999</v>
      </c>
      <c r="W95">
        <v>2478.1610000000001</v>
      </c>
      <c r="X95">
        <v>3682.8220000000001</v>
      </c>
      <c r="Y95">
        <v>3717.241</v>
      </c>
      <c r="Z95">
        <v>218.69200000000001</v>
      </c>
      <c r="AA95">
        <v>3210.3449999999998</v>
      </c>
      <c r="AB95">
        <v>4167.8159999999998</v>
      </c>
      <c r="AC95">
        <v>3.22</v>
      </c>
      <c r="AD95">
        <v>232.797</v>
      </c>
      <c r="AE95">
        <v>232.98099999999999</v>
      </c>
      <c r="AF95">
        <v>3.121</v>
      </c>
      <c r="AG95">
        <v>220.029</v>
      </c>
      <c r="AH95">
        <v>0.53905109489051095</v>
      </c>
      <c r="AI95">
        <v>237.827</v>
      </c>
      <c r="AJ95">
        <v>0.11751824817518247</v>
      </c>
      <c r="AK95">
        <v>0.433</v>
      </c>
      <c r="AL95">
        <v>-34.064999999999998</v>
      </c>
      <c r="AM95">
        <v>270.51900000000001</v>
      </c>
      <c r="AN95">
        <v>283.41899999999998</v>
      </c>
      <c r="AO95">
        <v>23.847999999999999</v>
      </c>
      <c r="AP95">
        <v>226.73500000000001</v>
      </c>
      <c r="AQ95">
        <v>283.41899999999998</v>
      </c>
      <c r="AR95">
        <v>2195.4070000000002</v>
      </c>
      <c r="AS95">
        <v>2210.6680000000001</v>
      </c>
      <c r="AT95">
        <v>121.181</v>
      </c>
      <c r="AU95">
        <v>1473.779</v>
      </c>
      <c r="AV95">
        <v>2437.404</v>
      </c>
      <c r="AW95">
        <v>3302.85</v>
      </c>
      <c r="AX95">
        <v>3287.6610000000001</v>
      </c>
      <c r="AY95">
        <v>202.19300000000001</v>
      </c>
      <c r="AZ95">
        <v>2890.8739999999998</v>
      </c>
      <c r="BA95">
        <v>3797.8150000000001</v>
      </c>
      <c r="BB95">
        <v>2.74</v>
      </c>
      <c r="BC95">
        <v>225.76599999999999</v>
      </c>
      <c r="BD95">
        <v>225.328</v>
      </c>
      <c r="BE95">
        <v>7.266</v>
      </c>
      <c r="BF95">
        <v>218.00800000000001</v>
      </c>
      <c r="BG95">
        <v>1.4015151515151513E-2</v>
      </c>
      <c r="BH95">
        <v>309.31900000000002</v>
      </c>
      <c r="BI95">
        <v>6.818181818181817E-3</v>
      </c>
      <c r="BJ95">
        <v>0.72199999999999998</v>
      </c>
      <c r="BK95">
        <v>-32.308</v>
      </c>
      <c r="BL95">
        <v>390.39800000000002</v>
      </c>
      <c r="BM95">
        <v>385.39299999999997</v>
      </c>
      <c r="BN95">
        <v>18.376000000000001</v>
      </c>
      <c r="BO95">
        <v>330.33699999999999</v>
      </c>
      <c r="BP95">
        <v>440.44900000000001</v>
      </c>
      <c r="BQ95">
        <v>2217.9780000000001</v>
      </c>
      <c r="BR95">
        <v>2257.3029999999999</v>
      </c>
      <c r="BS95">
        <v>187.548</v>
      </c>
      <c r="BT95">
        <v>1706.742</v>
      </c>
      <c r="BU95">
        <v>2532.5839999999998</v>
      </c>
      <c r="BV95">
        <v>3418.0709999999999</v>
      </c>
      <c r="BW95">
        <v>3413.4830000000002</v>
      </c>
      <c r="BX95">
        <v>188.09</v>
      </c>
      <c r="BY95">
        <v>2973.0340000000001</v>
      </c>
      <c r="BZ95">
        <v>3908.989</v>
      </c>
      <c r="CA95">
        <v>2.64</v>
      </c>
    </row>
    <row r="96" spans="1:84" x14ac:dyDescent="0.35">
      <c r="A96" t="s">
        <v>125</v>
      </c>
      <c r="B96" t="str">
        <f t="shared" si="6"/>
        <v xml:space="preserve"> la_pe_2005_12_15_770</v>
      </c>
      <c r="C96" s="1">
        <f t="shared" si="5"/>
        <v>45750</v>
      </c>
      <c r="D96" t="s">
        <v>78</v>
      </c>
      <c r="E96">
        <v>188.38399999999999</v>
      </c>
      <c r="F96">
        <v>188.00200000000001</v>
      </c>
      <c r="G96">
        <v>2.3809999999999998</v>
      </c>
      <c r="H96">
        <v>185.405</v>
      </c>
      <c r="I96">
        <v>0.16129032258064518</v>
      </c>
      <c r="J96">
        <v>200.45500000000001</v>
      </c>
      <c r="K96">
        <v>1.6935483870967744E-2</v>
      </c>
      <c r="L96">
        <v>0.47099999999999997</v>
      </c>
      <c r="M96">
        <v>-21.637</v>
      </c>
      <c r="N96">
        <v>694.45600000000002</v>
      </c>
      <c r="O96">
        <v>677.76599999999996</v>
      </c>
      <c r="P96">
        <v>36.008000000000003</v>
      </c>
      <c r="Q96">
        <v>632.58199999999999</v>
      </c>
      <c r="R96">
        <v>858.50400000000002</v>
      </c>
      <c r="S96">
        <v>1173.5740000000001</v>
      </c>
      <c r="T96">
        <v>1174.7950000000001</v>
      </c>
      <c r="U96">
        <v>40.164999999999999</v>
      </c>
      <c r="V96">
        <v>1084.4259999999999</v>
      </c>
      <c r="W96">
        <v>1355.5329999999999</v>
      </c>
      <c r="X96">
        <v>2784.3380000000002</v>
      </c>
      <c r="Y96">
        <v>2756.25</v>
      </c>
      <c r="Z96">
        <v>80.840999999999994</v>
      </c>
      <c r="AA96">
        <v>2665.8809999999999</v>
      </c>
      <c r="AB96">
        <v>3117.7249999999999</v>
      </c>
      <c r="AC96">
        <v>2.48</v>
      </c>
      <c r="AD96">
        <v>194.126</v>
      </c>
      <c r="AE96">
        <v>191.32400000000001</v>
      </c>
      <c r="AF96">
        <v>10.529</v>
      </c>
      <c r="AG96">
        <v>186.97800000000001</v>
      </c>
      <c r="AH96">
        <v>0.64907407407407403</v>
      </c>
      <c r="AI96">
        <v>260.947</v>
      </c>
      <c r="AJ96">
        <v>0</v>
      </c>
      <c r="AK96">
        <v>0.63800000000000001</v>
      </c>
      <c r="AL96">
        <v>-27.581</v>
      </c>
      <c r="AM96">
        <v>327.05399999999997</v>
      </c>
      <c r="AN96">
        <v>322.90800000000002</v>
      </c>
      <c r="AO96">
        <v>16.515999999999998</v>
      </c>
      <c r="AP96">
        <v>276.77800000000002</v>
      </c>
      <c r="AQ96">
        <v>369.03800000000001</v>
      </c>
      <c r="AR96">
        <v>2463.232</v>
      </c>
      <c r="AS96">
        <v>2491.0039999999999</v>
      </c>
      <c r="AT96">
        <v>100.399</v>
      </c>
      <c r="AU96">
        <v>1522.28</v>
      </c>
      <c r="AV96">
        <v>2537.134</v>
      </c>
      <c r="AW96">
        <v>3379.7069999999999</v>
      </c>
      <c r="AX96">
        <v>3367.4690000000001</v>
      </c>
      <c r="AY96">
        <v>221.83</v>
      </c>
      <c r="AZ96">
        <v>2998.431</v>
      </c>
      <c r="BA96">
        <v>5120.3969999999999</v>
      </c>
      <c r="BB96">
        <v>2.16</v>
      </c>
      <c r="BC96">
        <v>159.518</v>
      </c>
      <c r="BD96">
        <v>192.93799999999999</v>
      </c>
      <c r="BE96">
        <v>54.167999999999999</v>
      </c>
      <c r="BF96">
        <v>95.929000000000002</v>
      </c>
      <c r="BG96">
        <v>0.3541322314049587</v>
      </c>
      <c r="BH96">
        <v>358.53699999999998</v>
      </c>
      <c r="BI96">
        <v>0.93223140495867762</v>
      </c>
      <c r="BJ96">
        <v>31.684000000000001</v>
      </c>
      <c r="BK96">
        <v>-15.696999999999999</v>
      </c>
      <c r="BL96">
        <v>408.33300000000003</v>
      </c>
      <c r="BM96">
        <v>389.952</v>
      </c>
      <c r="BN96">
        <v>41.231999999999999</v>
      </c>
      <c r="BO96">
        <v>319.05099999999999</v>
      </c>
      <c r="BP96">
        <v>638.10299999999995</v>
      </c>
      <c r="BQ96">
        <v>993.91700000000003</v>
      </c>
      <c r="BR96">
        <v>992.60500000000002</v>
      </c>
      <c r="BS96">
        <v>41.359000000000002</v>
      </c>
      <c r="BT96">
        <v>921.70399999999995</v>
      </c>
      <c r="BU96">
        <v>1205.3050000000001</v>
      </c>
      <c r="BV96">
        <v>3312.2959999999998</v>
      </c>
      <c r="BW96">
        <v>3367.7649999999999</v>
      </c>
      <c r="BX96">
        <v>237.268</v>
      </c>
      <c r="BY96">
        <v>2091.5590000000002</v>
      </c>
      <c r="BZ96">
        <v>3757.7170000000001</v>
      </c>
      <c r="CA96">
        <v>2.42</v>
      </c>
      <c r="CB96">
        <v>0</v>
      </c>
      <c r="CC96">
        <v>1</v>
      </c>
      <c r="CD96">
        <v>0</v>
      </c>
      <c r="CE96">
        <v>4</v>
      </c>
      <c r="CF96">
        <v>0</v>
      </c>
    </row>
    <row r="97" spans="1:84" x14ac:dyDescent="0.35">
      <c r="A97" t="s">
        <v>212</v>
      </c>
      <c r="B97" t="str">
        <f t="shared" si="6"/>
        <v xml:space="preserve"> le_du_2003_03_30_117</v>
      </c>
      <c r="C97" s="1">
        <f t="shared" si="5"/>
        <v>45747</v>
      </c>
      <c r="D97" t="s">
        <v>78</v>
      </c>
      <c r="E97">
        <v>194.10300000000001</v>
      </c>
      <c r="F97">
        <v>193.90700000000001</v>
      </c>
      <c r="G97">
        <v>1.992</v>
      </c>
      <c r="H97">
        <v>190.90899999999999</v>
      </c>
      <c r="I97">
        <v>3.6440677966101696E-2</v>
      </c>
      <c r="J97">
        <v>205.11600000000001</v>
      </c>
      <c r="K97">
        <v>0.98347457627118662</v>
      </c>
      <c r="L97">
        <v>0.435</v>
      </c>
      <c r="M97">
        <v>-30.847000000000001</v>
      </c>
      <c r="N97">
        <v>516.61300000000006</v>
      </c>
      <c r="O97">
        <v>516.61300000000006</v>
      </c>
      <c r="P97">
        <v>69.718999999999994</v>
      </c>
      <c r="Q97">
        <v>328.75400000000002</v>
      </c>
      <c r="R97">
        <v>798.40300000000002</v>
      </c>
      <c r="S97">
        <v>1126.2950000000001</v>
      </c>
      <c r="T97">
        <v>1127.1569999999999</v>
      </c>
      <c r="U97">
        <v>67.025000000000006</v>
      </c>
      <c r="V97">
        <v>1033.2270000000001</v>
      </c>
      <c r="W97">
        <v>1549.84</v>
      </c>
      <c r="X97">
        <v>3107.0050000000001</v>
      </c>
      <c r="Y97">
        <v>3099.681</v>
      </c>
      <c r="Z97">
        <v>161.07300000000001</v>
      </c>
      <c r="AA97">
        <v>2489.1370000000002</v>
      </c>
      <c r="AB97">
        <v>3663.259</v>
      </c>
      <c r="AC97">
        <v>2.36</v>
      </c>
      <c r="AD97">
        <v>199.911</v>
      </c>
      <c r="AE97">
        <v>199.03299999999999</v>
      </c>
      <c r="AF97">
        <v>8.2750000000000004</v>
      </c>
      <c r="AG97">
        <v>193.90700000000001</v>
      </c>
      <c r="AH97">
        <v>0.24590909090909091</v>
      </c>
      <c r="AI97">
        <v>272.70299999999997</v>
      </c>
      <c r="AJ97">
        <v>9.5454545454545445E-3</v>
      </c>
      <c r="AK97">
        <v>0.82799999999999996</v>
      </c>
      <c r="AL97">
        <v>-30.013000000000002</v>
      </c>
      <c r="AM97">
        <v>341.959</v>
      </c>
      <c r="AN97">
        <v>339.60399999999998</v>
      </c>
      <c r="AO97">
        <v>17.157</v>
      </c>
      <c r="AP97">
        <v>339.60399999999998</v>
      </c>
      <c r="AQ97">
        <v>485.149</v>
      </c>
      <c r="AR97">
        <v>2397.2040000000002</v>
      </c>
      <c r="AS97">
        <v>2425.7429999999999</v>
      </c>
      <c r="AT97">
        <v>128.14599999999999</v>
      </c>
      <c r="AU97">
        <v>1940.5940000000001</v>
      </c>
      <c r="AV97">
        <v>2522.7719999999999</v>
      </c>
      <c r="AW97">
        <v>3496.3040000000001</v>
      </c>
      <c r="AX97">
        <v>3493.069</v>
      </c>
      <c r="AY97">
        <v>132.56800000000001</v>
      </c>
      <c r="AZ97">
        <v>3007.9209999999998</v>
      </c>
      <c r="BA97">
        <v>3832.6729999999998</v>
      </c>
      <c r="BB97">
        <v>2.2000000000000002</v>
      </c>
      <c r="BC97">
        <v>191.077</v>
      </c>
      <c r="BD97">
        <v>190.55600000000001</v>
      </c>
      <c r="BE97">
        <v>5.1989999999999998</v>
      </c>
      <c r="BF97">
        <v>178.749</v>
      </c>
      <c r="BG97">
        <v>1.3414634146341463E-2</v>
      </c>
      <c r="BH97">
        <v>230.20099999999999</v>
      </c>
      <c r="BI97">
        <v>6.7073170731707316E-3</v>
      </c>
      <c r="BJ97">
        <v>0.75900000000000001</v>
      </c>
      <c r="BK97">
        <v>-26.885999999999999</v>
      </c>
      <c r="BL97">
        <v>339.68</v>
      </c>
      <c r="BM97">
        <v>318.24700000000001</v>
      </c>
      <c r="BN97">
        <v>34.25</v>
      </c>
      <c r="BO97">
        <v>318.24700000000001</v>
      </c>
      <c r="BP97">
        <v>636.495</v>
      </c>
      <c r="BQ97">
        <v>1018.3920000000001</v>
      </c>
      <c r="BR97">
        <v>1000.206</v>
      </c>
      <c r="BS97">
        <v>30.940999999999999</v>
      </c>
      <c r="BT97">
        <v>1000.206</v>
      </c>
      <c r="BU97">
        <v>1091.134</v>
      </c>
      <c r="BV97">
        <v>3327.4670000000001</v>
      </c>
      <c r="BW97">
        <v>3318.866</v>
      </c>
      <c r="BX97">
        <v>163.82400000000001</v>
      </c>
      <c r="BY97">
        <v>2955.1550000000002</v>
      </c>
      <c r="BZ97">
        <v>3864.433</v>
      </c>
      <c r="CA97">
        <v>3.28</v>
      </c>
      <c r="CB97">
        <v>5</v>
      </c>
      <c r="CC97">
        <v>1</v>
      </c>
      <c r="CD97">
        <v>0</v>
      </c>
      <c r="CE97">
        <v>1</v>
      </c>
      <c r="CF97">
        <v>0</v>
      </c>
    </row>
    <row r="98" spans="1:84" x14ac:dyDescent="0.35">
      <c r="A98" t="s">
        <v>126</v>
      </c>
      <c r="B98" t="str">
        <f t="shared" si="6"/>
        <v xml:space="preserve"> li_se_2005_11_04_636</v>
      </c>
      <c r="C98" s="1">
        <f t="shared" ref="C98:C129" si="7">DATEVALUE(SUBSTITUTE(_xlfn.TEXTAFTER(_xlfn.TEXTBEFORE(A98," -"),"a2_"),"_","/"))</f>
        <v>45750</v>
      </c>
      <c r="D98" t="s">
        <v>78</v>
      </c>
      <c r="E98">
        <v>195.03299999999999</v>
      </c>
      <c r="F98">
        <v>192.697</v>
      </c>
      <c r="G98">
        <v>8.1210000000000004</v>
      </c>
      <c r="H98">
        <v>184.07900000000001</v>
      </c>
      <c r="I98">
        <v>0.94642857142857151</v>
      </c>
      <c r="J98">
        <v>221.29</v>
      </c>
      <c r="K98">
        <v>1.1904761904761906E-2</v>
      </c>
      <c r="L98">
        <v>0.51</v>
      </c>
      <c r="M98">
        <v>-27.722000000000001</v>
      </c>
      <c r="N98">
        <v>729.63900000000001</v>
      </c>
      <c r="O98">
        <v>697.05</v>
      </c>
      <c r="P98">
        <v>86.302999999999997</v>
      </c>
      <c r="Q98">
        <v>418.23</v>
      </c>
      <c r="R98">
        <v>929.399</v>
      </c>
      <c r="S98">
        <v>1266.759</v>
      </c>
      <c r="T98">
        <v>1254.6890000000001</v>
      </c>
      <c r="U98">
        <v>62.801000000000002</v>
      </c>
      <c r="V98">
        <v>1115.279</v>
      </c>
      <c r="W98">
        <v>1394.0989999999999</v>
      </c>
      <c r="X98">
        <v>3132.8</v>
      </c>
      <c r="Y98">
        <v>3206.4279999999999</v>
      </c>
      <c r="Z98">
        <v>298.44499999999999</v>
      </c>
      <c r="AA98">
        <v>2277.0279999999998</v>
      </c>
      <c r="AB98">
        <v>3717.5970000000002</v>
      </c>
      <c r="AC98">
        <v>1.68</v>
      </c>
      <c r="AD98">
        <v>214.01400000000001</v>
      </c>
      <c r="AE98">
        <v>207.251</v>
      </c>
      <c r="AF98">
        <v>16.905999999999999</v>
      </c>
      <c r="AG98">
        <v>195.38</v>
      </c>
      <c r="AH98">
        <v>0.8967105263157894</v>
      </c>
      <c r="AI98">
        <v>258.54300000000001</v>
      </c>
      <c r="AJ98">
        <v>0</v>
      </c>
      <c r="AK98">
        <v>0.53400000000000003</v>
      </c>
      <c r="AL98">
        <v>-29.594999999999999</v>
      </c>
      <c r="AM98">
        <v>390.666</v>
      </c>
      <c r="AN98">
        <v>410.233</v>
      </c>
      <c r="AO98">
        <v>25.076000000000001</v>
      </c>
      <c r="AP98">
        <v>358.95299999999997</v>
      </c>
      <c r="AQ98">
        <v>410.233</v>
      </c>
      <c r="AR98">
        <v>1623.837</v>
      </c>
      <c r="AS98">
        <v>1615.2909999999999</v>
      </c>
      <c r="AT98">
        <v>128.36799999999999</v>
      </c>
      <c r="AU98">
        <v>1487.0930000000001</v>
      </c>
      <c r="AV98">
        <v>1794.7670000000001</v>
      </c>
      <c r="AW98">
        <v>3894.51</v>
      </c>
      <c r="AX98">
        <v>3897.2089999999998</v>
      </c>
      <c r="AY98">
        <v>197.43299999999999</v>
      </c>
      <c r="AZ98">
        <v>2974.1860000000001</v>
      </c>
      <c r="BA98">
        <v>4410</v>
      </c>
      <c r="BB98">
        <v>1.52</v>
      </c>
      <c r="BC98">
        <v>214.10400000000001</v>
      </c>
      <c r="BD98">
        <v>211.43799999999999</v>
      </c>
      <c r="BE98">
        <v>24.777000000000001</v>
      </c>
      <c r="BF98">
        <v>117.42100000000001</v>
      </c>
      <c r="BG98">
        <v>0</v>
      </c>
      <c r="BH98">
        <v>258.75900000000001</v>
      </c>
      <c r="BI98">
        <v>5.3333333333333337E-2</v>
      </c>
      <c r="BJ98">
        <v>1.8620000000000001</v>
      </c>
      <c r="BK98">
        <v>-30.28</v>
      </c>
      <c r="BL98">
        <v>414.839</v>
      </c>
      <c r="BM98">
        <v>404.58699999999999</v>
      </c>
      <c r="BN98">
        <v>38.341999999999999</v>
      </c>
      <c r="BO98">
        <v>354.01400000000001</v>
      </c>
      <c r="BP98">
        <v>505.73399999999998</v>
      </c>
      <c r="BQ98">
        <v>1219.1420000000001</v>
      </c>
      <c r="BR98">
        <v>1264.335</v>
      </c>
      <c r="BS98">
        <v>85.822000000000003</v>
      </c>
      <c r="BT98">
        <v>1011.468</v>
      </c>
      <c r="BU98">
        <v>1314.9079999999999</v>
      </c>
      <c r="BV98">
        <v>3062.424</v>
      </c>
      <c r="BW98">
        <v>3034.404</v>
      </c>
      <c r="BX98">
        <v>241.76599999999999</v>
      </c>
      <c r="BY98">
        <v>2376.9499999999998</v>
      </c>
      <c r="BZ98">
        <v>3691.8580000000002</v>
      </c>
      <c r="CA98">
        <v>1.5</v>
      </c>
    </row>
    <row r="99" spans="1:84" x14ac:dyDescent="0.35">
      <c r="A99" t="s">
        <v>213</v>
      </c>
      <c r="B99" t="str">
        <f t="shared" si="6"/>
        <v xml:space="preserve"> lu_ma_2005_11_04_366</v>
      </c>
      <c r="C99" s="1">
        <f t="shared" si="7"/>
        <v>45747</v>
      </c>
      <c r="D99" t="s">
        <v>78</v>
      </c>
      <c r="E99">
        <v>187.28399999999999</v>
      </c>
      <c r="F99">
        <v>186.18799999999999</v>
      </c>
      <c r="G99">
        <v>12.345000000000001</v>
      </c>
      <c r="H99">
        <v>140.06399999999999</v>
      </c>
      <c r="I99">
        <v>0.98766233766233757</v>
      </c>
      <c r="J99">
        <v>318.24700000000001</v>
      </c>
      <c r="K99">
        <v>0.98019480519480517</v>
      </c>
      <c r="L99">
        <v>1.337</v>
      </c>
      <c r="M99">
        <v>-21.18</v>
      </c>
      <c r="N99">
        <v>685.86900000000003</v>
      </c>
      <c r="O99">
        <v>665.49300000000005</v>
      </c>
      <c r="P99">
        <v>73.674999999999997</v>
      </c>
      <c r="Q99">
        <v>354.93</v>
      </c>
      <c r="R99">
        <v>976.05600000000004</v>
      </c>
      <c r="S99">
        <v>1138.1759999999999</v>
      </c>
      <c r="T99">
        <v>1109.155</v>
      </c>
      <c r="U99">
        <v>120.892</v>
      </c>
      <c r="V99">
        <v>976.05600000000004</v>
      </c>
      <c r="W99">
        <v>1597.183</v>
      </c>
      <c r="X99">
        <v>2599.8589999999999</v>
      </c>
      <c r="Y99">
        <v>2484.5070000000001</v>
      </c>
      <c r="Z99">
        <v>356.13600000000002</v>
      </c>
      <c r="AA99">
        <v>2218.31</v>
      </c>
      <c r="AB99">
        <v>4569.7179999999998</v>
      </c>
      <c r="AC99">
        <v>3.08</v>
      </c>
      <c r="AD99">
        <v>188.14699999999999</v>
      </c>
      <c r="AE99">
        <v>187.20400000000001</v>
      </c>
      <c r="AF99">
        <v>3.8359999999999999</v>
      </c>
      <c r="AG99">
        <v>178.749</v>
      </c>
      <c r="AH99">
        <v>0</v>
      </c>
      <c r="AI99">
        <v>207.46</v>
      </c>
      <c r="AJ99">
        <v>1.5306122448979591E-2</v>
      </c>
      <c r="AK99">
        <v>0.71899999999999997</v>
      </c>
      <c r="AL99">
        <v>-22.713000000000001</v>
      </c>
      <c r="AM99">
        <v>362.28199999999998</v>
      </c>
      <c r="AN99">
        <v>357.80900000000003</v>
      </c>
      <c r="AO99">
        <v>13.47</v>
      </c>
      <c r="AP99">
        <v>357.80900000000003</v>
      </c>
      <c r="AQ99">
        <v>402.53500000000003</v>
      </c>
      <c r="AR99">
        <v>2534.248</v>
      </c>
      <c r="AS99">
        <v>2549.3910000000001</v>
      </c>
      <c r="AT99">
        <v>75.647000000000006</v>
      </c>
      <c r="AU99">
        <v>2236.308</v>
      </c>
      <c r="AV99">
        <v>2638.8440000000001</v>
      </c>
      <c r="AW99">
        <v>3343.1089999999999</v>
      </c>
      <c r="AX99">
        <v>3354.462</v>
      </c>
      <c r="AY99">
        <v>226.16900000000001</v>
      </c>
      <c r="AZ99">
        <v>2728.2959999999998</v>
      </c>
      <c r="BA99">
        <v>3846.45</v>
      </c>
      <c r="BB99">
        <v>2.94</v>
      </c>
      <c r="BC99">
        <v>194.37700000000001</v>
      </c>
      <c r="BD99">
        <v>191.858</v>
      </c>
      <c r="BE99">
        <v>16.917000000000002</v>
      </c>
      <c r="BF99">
        <v>186.41300000000001</v>
      </c>
      <c r="BG99">
        <v>0.98862068965517247</v>
      </c>
      <c r="BH99">
        <v>339.23099999999999</v>
      </c>
      <c r="BI99">
        <v>7.5862068965517242E-3</v>
      </c>
      <c r="BJ99">
        <v>0.79500000000000004</v>
      </c>
      <c r="BK99">
        <v>-24.495000000000001</v>
      </c>
      <c r="BL99">
        <v>376.55700000000002</v>
      </c>
      <c r="BM99">
        <v>370.97800000000001</v>
      </c>
      <c r="BN99">
        <v>37.445999999999998</v>
      </c>
      <c r="BO99">
        <v>324.60599999999999</v>
      </c>
      <c r="BP99">
        <v>695.58399999999995</v>
      </c>
      <c r="BQ99">
        <v>1011.061</v>
      </c>
      <c r="BR99">
        <v>1020.189</v>
      </c>
      <c r="BS99">
        <v>56.655999999999999</v>
      </c>
      <c r="BT99">
        <v>927.44500000000005</v>
      </c>
      <c r="BU99">
        <v>1112.934</v>
      </c>
      <c r="BV99">
        <v>3508.9490000000001</v>
      </c>
      <c r="BW99">
        <v>3431.5459999999998</v>
      </c>
      <c r="BX99">
        <v>170.833</v>
      </c>
      <c r="BY99">
        <v>3153.3119999999999</v>
      </c>
      <c r="BZ99">
        <v>3988.0129999999999</v>
      </c>
      <c r="CA99">
        <v>2.9</v>
      </c>
      <c r="CB99">
        <v>9</v>
      </c>
      <c r="CC99">
        <v>5</v>
      </c>
      <c r="CD99">
        <v>0</v>
      </c>
      <c r="CE99">
        <v>5</v>
      </c>
      <c r="CF99">
        <v>3</v>
      </c>
    </row>
    <row r="100" spans="1:84" x14ac:dyDescent="0.35">
      <c r="A100" t="s">
        <v>191</v>
      </c>
      <c r="B100" t="str">
        <f t="shared" si="6"/>
        <v xml:space="preserve"> ly_vi_2005_11_24_863</v>
      </c>
      <c r="C100" s="1">
        <f t="shared" si="7"/>
        <v>45753</v>
      </c>
      <c r="D100" t="s">
        <v>78</v>
      </c>
      <c r="E100">
        <v>215.489</v>
      </c>
      <c r="F100">
        <v>215.72300000000001</v>
      </c>
      <c r="G100">
        <v>1.8420000000000001</v>
      </c>
      <c r="H100">
        <v>206.90299999999999</v>
      </c>
      <c r="I100">
        <v>1.2264150943396225E-2</v>
      </c>
      <c r="J100">
        <v>225.82300000000001</v>
      </c>
      <c r="K100">
        <v>0.99339622641509417</v>
      </c>
      <c r="L100">
        <v>0.30199999999999999</v>
      </c>
      <c r="M100">
        <v>-26.997</v>
      </c>
      <c r="N100">
        <v>600.25099999999998</v>
      </c>
      <c r="O100">
        <v>574.76300000000003</v>
      </c>
      <c r="P100">
        <v>60.561999999999998</v>
      </c>
      <c r="Q100">
        <v>365.75799999999998</v>
      </c>
      <c r="R100">
        <v>888.27</v>
      </c>
      <c r="S100">
        <v>1115.117</v>
      </c>
      <c r="T100">
        <v>1097.2750000000001</v>
      </c>
      <c r="U100">
        <v>45.29</v>
      </c>
      <c r="V100">
        <v>1045.0239999999999</v>
      </c>
      <c r="W100">
        <v>1306.28</v>
      </c>
      <c r="X100">
        <v>3491.0120000000002</v>
      </c>
      <c r="Y100">
        <v>3500.8290000000002</v>
      </c>
      <c r="Z100">
        <v>269.387</v>
      </c>
      <c r="AA100">
        <v>2560.308</v>
      </c>
      <c r="AB100">
        <v>4023.3409999999999</v>
      </c>
      <c r="AC100">
        <v>3.18</v>
      </c>
      <c r="AD100">
        <v>214.70500000000001</v>
      </c>
      <c r="AE100">
        <v>214.673</v>
      </c>
      <c r="AF100">
        <v>2.6880000000000002</v>
      </c>
      <c r="AG100">
        <v>211.29400000000001</v>
      </c>
      <c r="AH100">
        <v>3.7179487179487179E-2</v>
      </c>
      <c r="AI100">
        <v>246.369</v>
      </c>
      <c r="AJ100">
        <v>0</v>
      </c>
      <c r="AK100">
        <v>0.29799999999999999</v>
      </c>
      <c r="AL100">
        <v>-31.510999999999999</v>
      </c>
      <c r="AM100">
        <v>363.60399999999998</v>
      </c>
      <c r="AN100">
        <v>363.60399999999998</v>
      </c>
      <c r="AO100">
        <v>6208</v>
      </c>
      <c r="AP100">
        <v>311.661</v>
      </c>
      <c r="AQ100">
        <v>415.548</v>
      </c>
      <c r="AR100">
        <v>2431.7530000000002</v>
      </c>
      <c r="AS100">
        <v>2441.3429999999998</v>
      </c>
      <c r="AT100">
        <v>95.007999999999996</v>
      </c>
      <c r="AU100">
        <v>2129.6819999999998</v>
      </c>
      <c r="AV100">
        <v>2545.23</v>
      </c>
      <c r="AW100">
        <v>3693.5050000000001</v>
      </c>
      <c r="AX100">
        <v>3687.9859999999999</v>
      </c>
      <c r="AY100">
        <v>174.245</v>
      </c>
      <c r="AZ100">
        <v>3272.4380000000001</v>
      </c>
      <c r="BA100">
        <v>4103.5339999999997</v>
      </c>
      <c r="BB100">
        <v>3.12</v>
      </c>
      <c r="BC100">
        <v>215.05699999999999</v>
      </c>
      <c r="BD100">
        <v>213.78100000000001</v>
      </c>
      <c r="BE100">
        <v>12.022</v>
      </c>
      <c r="BF100">
        <v>202.69200000000001</v>
      </c>
      <c r="BG100">
        <v>1.2662337662337661E-2</v>
      </c>
      <c r="BH100">
        <v>331.57900000000001</v>
      </c>
      <c r="BI100">
        <v>0</v>
      </c>
      <c r="BJ100">
        <v>0.50600000000000001</v>
      </c>
      <c r="BK100">
        <v>-31.023</v>
      </c>
      <c r="BL100">
        <v>325.33</v>
      </c>
      <c r="BM100">
        <v>311.661</v>
      </c>
      <c r="BN100">
        <v>23.715</v>
      </c>
      <c r="BO100">
        <v>311.661</v>
      </c>
      <c r="BP100">
        <v>415.548</v>
      </c>
      <c r="BQ100">
        <v>1090.482</v>
      </c>
      <c r="BR100">
        <v>1090.8130000000001</v>
      </c>
      <c r="BS100">
        <v>62.381</v>
      </c>
      <c r="BT100">
        <v>934.98199999999997</v>
      </c>
      <c r="BU100">
        <v>1350.53</v>
      </c>
      <c r="BV100">
        <v>3009.433</v>
      </c>
      <c r="BW100">
        <v>3012.721</v>
      </c>
      <c r="BX100">
        <v>165.99600000000001</v>
      </c>
      <c r="BY100">
        <v>2701.06</v>
      </c>
      <c r="BZ100">
        <v>3376.3249999999998</v>
      </c>
      <c r="CA100">
        <v>3.08</v>
      </c>
      <c r="CB100">
        <v>4</v>
      </c>
      <c r="CC100">
        <v>4</v>
      </c>
      <c r="CD100">
        <v>1</v>
      </c>
      <c r="CE100">
        <v>2</v>
      </c>
      <c r="CF100">
        <v>4</v>
      </c>
    </row>
    <row r="101" spans="1:84" x14ac:dyDescent="0.35">
      <c r="A101" t="s">
        <v>90</v>
      </c>
      <c r="B101" t="str">
        <f t="shared" si="6"/>
        <v xml:space="preserve"> ma_ca_1996_09_14_696</v>
      </c>
      <c r="C101" s="1">
        <f t="shared" si="7"/>
        <v>45748</v>
      </c>
      <c r="D101" t="s">
        <v>78</v>
      </c>
      <c r="E101">
        <v>212.34200000000001</v>
      </c>
      <c r="F101">
        <v>212.01900000000001</v>
      </c>
      <c r="G101">
        <v>2.4790000000000001</v>
      </c>
      <c r="H101">
        <v>207.59899999999999</v>
      </c>
      <c r="I101">
        <v>0.29152542372881357</v>
      </c>
      <c r="J101">
        <v>220.65799999999999</v>
      </c>
      <c r="K101">
        <v>0.98305084745762705</v>
      </c>
      <c r="L101">
        <v>0.48</v>
      </c>
      <c r="M101">
        <v>-30.050999999999998</v>
      </c>
      <c r="N101">
        <v>408.40100000000001</v>
      </c>
      <c r="O101">
        <v>410.233</v>
      </c>
      <c r="P101">
        <v>86.501999999999995</v>
      </c>
      <c r="Q101">
        <v>307.67399999999998</v>
      </c>
      <c r="R101">
        <v>615.34900000000005</v>
      </c>
      <c r="S101">
        <v>1125.0450000000001</v>
      </c>
      <c r="T101">
        <v>1076.8599999999999</v>
      </c>
      <c r="U101">
        <v>81.230999999999995</v>
      </c>
      <c r="V101">
        <v>1025.5809999999999</v>
      </c>
      <c r="W101">
        <v>1384.5350000000001</v>
      </c>
      <c r="X101">
        <v>3361.3429999999998</v>
      </c>
      <c r="Y101">
        <v>3384.4189999999999</v>
      </c>
      <c r="Z101">
        <v>248.19300000000001</v>
      </c>
      <c r="AA101">
        <v>2666.5120000000002</v>
      </c>
      <c r="AB101">
        <v>3948.4879999999998</v>
      </c>
      <c r="AC101">
        <v>2.36</v>
      </c>
      <c r="AD101">
        <v>215.577</v>
      </c>
      <c r="AE101">
        <v>214.375</v>
      </c>
      <c r="AF101">
        <v>4.2279999999999998</v>
      </c>
      <c r="AG101">
        <v>208.863</v>
      </c>
      <c r="AH101">
        <v>0.45217391304347831</v>
      </c>
      <c r="AI101">
        <v>236.19</v>
      </c>
      <c r="AJ101">
        <v>0</v>
      </c>
      <c r="AK101">
        <v>0.56799999999999995</v>
      </c>
      <c r="AL101">
        <v>-28.538</v>
      </c>
      <c r="AM101">
        <v>373.56099999999998</v>
      </c>
      <c r="AN101">
        <v>361.47500000000002</v>
      </c>
      <c r="AO101">
        <v>24.408000000000001</v>
      </c>
      <c r="AP101">
        <v>309.83600000000001</v>
      </c>
      <c r="AQ101">
        <v>464.75400000000002</v>
      </c>
      <c r="AR101">
        <v>1445.902</v>
      </c>
      <c r="AS101">
        <v>1445.902</v>
      </c>
      <c r="AT101">
        <v>0</v>
      </c>
      <c r="AU101">
        <v>1445.902</v>
      </c>
      <c r="AV101">
        <v>1445.902</v>
      </c>
      <c r="AW101">
        <v>3441.5239999999999</v>
      </c>
      <c r="AX101">
        <v>3408.1970000000001</v>
      </c>
      <c r="AY101">
        <v>172.06</v>
      </c>
      <c r="AZ101">
        <v>3098.3609999999999</v>
      </c>
      <c r="BA101">
        <v>3924.59</v>
      </c>
      <c r="BB101">
        <v>2.76</v>
      </c>
      <c r="BC101">
        <v>215.29400000000001</v>
      </c>
      <c r="BD101">
        <v>212.82400000000001</v>
      </c>
      <c r="BE101">
        <v>8.4529999999999994</v>
      </c>
      <c r="BF101">
        <v>204.708</v>
      </c>
      <c r="BG101">
        <v>0.8972</v>
      </c>
      <c r="BH101">
        <v>255.54599999999999</v>
      </c>
      <c r="BI101">
        <v>0</v>
      </c>
      <c r="BJ101">
        <v>0.58799999999999997</v>
      </c>
      <c r="BK101">
        <v>-30.733000000000001</v>
      </c>
      <c r="BL101">
        <v>365.59199999999998</v>
      </c>
      <c r="BM101">
        <v>361.899</v>
      </c>
      <c r="BN101">
        <v>17.521000000000001</v>
      </c>
      <c r="BO101">
        <v>310.19900000000001</v>
      </c>
      <c r="BP101">
        <v>413.59899999999999</v>
      </c>
      <c r="BQ101">
        <v>984.36599999999999</v>
      </c>
      <c r="BR101">
        <v>982.298</v>
      </c>
      <c r="BS101">
        <v>37.601999999999997</v>
      </c>
      <c r="BT101">
        <v>930.59799999999996</v>
      </c>
      <c r="BU101">
        <v>1033.998</v>
      </c>
      <c r="BV101">
        <v>3824.1759999999999</v>
      </c>
      <c r="BW101">
        <v>3929.1909999999998</v>
      </c>
      <c r="BX101">
        <v>219.72200000000001</v>
      </c>
      <c r="BY101">
        <v>2895.1930000000002</v>
      </c>
      <c r="BZ101">
        <v>4032.5909999999999</v>
      </c>
      <c r="CA101">
        <v>2.5</v>
      </c>
      <c r="CB101">
        <v>7</v>
      </c>
      <c r="CC101">
        <v>1</v>
      </c>
      <c r="CD101">
        <v>0</v>
      </c>
      <c r="CE101">
        <v>0</v>
      </c>
      <c r="CF101">
        <v>0</v>
      </c>
    </row>
    <row r="102" spans="1:84" x14ac:dyDescent="0.35">
      <c r="A102" t="s">
        <v>192</v>
      </c>
      <c r="B102" t="str">
        <f t="shared" si="6"/>
        <v xml:space="preserve"> ma_fa_2000_06_25_721</v>
      </c>
      <c r="C102" s="1">
        <f t="shared" si="7"/>
        <v>45753</v>
      </c>
      <c r="D102" t="s">
        <v>78</v>
      </c>
      <c r="E102">
        <v>198.126</v>
      </c>
      <c r="F102">
        <v>197.88499999999999</v>
      </c>
      <c r="G102">
        <v>2.4500000000000002</v>
      </c>
      <c r="H102">
        <v>192.81700000000001</v>
      </c>
      <c r="I102">
        <v>0.98622754491017972</v>
      </c>
      <c r="J102">
        <v>220.5</v>
      </c>
      <c r="K102">
        <v>0</v>
      </c>
      <c r="L102">
        <v>0.40899999999999997</v>
      </c>
      <c r="M102">
        <v>-28.222999999999999</v>
      </c>
      <c r="N102">
        <v>603.49</v>
      </c>
      <c r="O102">
        <v>619.78399999999999</v>
      </c>
      <c r="P102">
        <v>33.506</v>
      </c>
      <c r="Q102">
        <v>429.08100000000002</v>
      </c>
      <c r="R102">
        <v>667.45899999999995</v>
      </c>
      <c r="S102">
        <v>1067.9349999999999</v>
      </c>
      <c r="T102">
        <v>1048.865</v>
      </c>
      <c r="U102">
        <v>31.384</v>
      </c>
      <c r="V102">
        <v>1048.865</v>
      </c>
      <c r="W102">
        <v>1239.568</v>
      </c>
      <c r="X102">
        <v>3187.9340000000002</v>
      </c>
      <c r="Y102">
        <v>3194.27</v>
      </c>
      <c r="Z102">
        <v>124.93899999999999</v>
      </c>
      <c r="AA102">
        <v>2717.5140000000001</v>
      </c>
      <c r="AB102">
        <v>3432.6489999999999</v>
      </c>
      <c r="AC102">
        <v>3.34</v>
      </c>
      <c r="AD102">
        <v>204.49</v>
      </c>
      <c r="AE102">
        <v>204.505</v>
      </c>
      <c r="AF102">
        <v>2.0960000000000001</v>
      </c>
      <c r="AG102">
        <v>198.26599999999999</v>
      </c>
      <c r="AH102">
        <v>0.96966666666666657</v>
      </c>
      <c r="AI102">
        <v>213.63300000000001</v>
      </c>
      <c r="AJ102">
        <v>1.3666666666666667E-2</v>
      </c>
      <c r="AK102">
        <v>0.34399999999999997</v>
      </c>
      <c r="AL102">
        <v>-26.734999999999999</v>
      </c>
      <c r="AM102">
        <v>344.49299999999999</v>
      </c>
      <c r="AN102">
        <v>344.14699999999999</v>
      </c>
      <c r="AO102">
        <v>7163</v>
      </c>
      <c r="AP102">
        <v>294.983</v>
      </c>
      <c r="AQ102">
        <v>393.31099999999998</v>
      </c>
      <c r="AR102">
        <v>2605.6860000000001</v>
      </c>
      <c r="AS102">
        <v>2605.6860000000001</v>
      </c>
      <c r="AT102">
        <v>0</v>
      </c>
      <c r="AU102">
        <v>2605.6860000000001</v>
      </c>
      <c r="AV102">
        <v>2605.6860000000001</v>
      </c>
      <c r="AW102">
        <v>3664.056</v>
      </c>
      <c r="AX102">
        <v>3638.127</v>
      </c>
      <c r="AY102">
        <v>137.51300000000001</v>
      </c>
      <c r="AZ102">
        <v>2802.3409999999999</v>
      </c>
      <c r="BA102">
        <v>3982.2739999999999</v>
      </c>
      <c r="BB102">
        <v>3</v>
      </c>
      <c r="BC102">
        <v>206.452</v>
      </c>
      <c r="BD102">
        <v>206.41900000000001</v>
      </c>
      <c r="BE102">
        <v>1.754</v>
      </c>
      <c r="BF102">
        <v>202.42599999999999</v>
      </c>
      <c r="BG102">
        <v>0.97564935064935054</v>
      </c>
      <c r="BH102">
        <v>215.12200000000001</v>
      </c>
      <c r="BI102">
        <v>0.98863636363636354</v>
      </c>
      <c r="BJ102">
        <v>0.434</v>
      </c>
      <c r="BK102">
        <v>-24.4</v>
      </c>
      <c r="BL102">
        <v>399.87599999999998</v>
      </c>
      <c r="BM102">
        <v>399.54700000000003</v>
      </c>
      <c r="BN102">
        <v>4051</v>
      </c>
      <c r="BO102">
        <v>399.54700000000003</v>
      </c>
      <c r="BP102">
        <v>449.49</v>
      </c>
      <c r="BQ102">
        <v>948.92399999999998</v>
      </c>
      <c r="BR102">
        <v>948.92399999999998</v>
      </c>
      <c r="BS102">
        <v>0</v>
      </c>
      <c r="BT102">
        <v>948.92399999999998</v>
      </c>
      <c r="BU102">
        <v>948.92399999999998</v>
      </c>
      <c r="BV102">
        <v>4094.7</v>
      </c>
      <c r="BW102">
        <v>4095.357</v>
      </c>
      <c r="BX102">
        <v>181.761</v>
      </c>
      <c r="BY102">
        <v>3496.0360000000001</v>
      </c>
      <c r="BZ102">
        <v>4444.96</v>
      </c>
      <c r="CA102">
        <v>3.08</v>
      </c>
      <c r="CB102">
        <v>5</v>
      </c>
      <c r="CC102">
        <v>0</v>
      </c>
      <c r="CD102">
        <v>0</v>
      </c>
      <c r="CE102">
        <v>2</v>
      </c>
      <c r="CF102">
        <v>4</v>
      </c>
    </row>
    <row r="103" spans="1:84" x14ac:dyDescent="0.35">
      <c r="A103" t="s">
        <v>167</v>
      </c>
      <c r="B103" t="str">
        <f t="shared" si="6"/>
        <v xml:space="preserve"> ma_ie_2000_07_31_515</v>
      </c>
      <c r="C103" s="1">
        <f t="shared" si="7"/>
        <v>45752</v>
      </c>
      <c r="D103" t="s">
        <v>78</v>
      </c>
      <c r="E103">
        <v>180.11699999999999</v>
      </c>
      <c r="F103">
        <v>180.21</v>
      </c>
      <c r="G103">
        <v>1.419</v>
      </c>
      <c r="H103">
        <v>176.905</v>
      </c>
      <c r="I103">
        <v>8.8535031847133766E-2</v>
      </c>
      <c r="J103">
        <v>190.08600000000001</v>
      </c>
      <c r="K103">
        <v>0.99363057324840764</v>
      </c>
      <c r="L103">
        <v>0.54900000000000004</v>
      </c>
      <c r="M103">
        <v>-20.863</v>
      </c>
      <c r="N103">
        <v>445.43799999999999</v>
      </c>
      <c r="O103">
        <v>428.988</v>
      </c>
      <c r="P103">
        <v>49.738</v>
      </c>
      <c r="Q103">
        <v>386.089</v>
      </c>
      <c r="R103">
        <v>557.68499999999995</v>
      </c>
      <c r="S103">
        <v>1183.943</v>
      </c>
      <c r="T103">
        <v>1201.1669999999999</v>
      </c>
      <c r="U103">
        <v>38.537999999999997</v>
      </c>
      <c r="V103">
        <v>1115.3699999999999</v>
      </c>
      <c r="W103">
        <v>1286.9649999999999</v>
      </c>
      <c r="X103">
        <v>3039.6889999999999</v>
      </c>
      <c r="Y103">
        <v>3045.817</v>
      </c>
      <c r="Z103">
        <v>77.632999999999996</v>
      </c>
      <c r="AA103">
        <v>2788.424</v>
      </c>
      <c r="AB103">
        <v>3174.5140000000001</v>
      </c>
      <c r="AC103">
        <v>3.14</v>
      </c>
      <c r="AD103">
        <v>189.35400000000001</v>
      </c>
      <c r="AE103">
        <v>189.50299999999999</v>
      </c>
      <c r="AF103">
        <v>3.0009999999999999</v>
      </c>
      <c r="AG103">
        <v>168.41200000000001</v>
      </c>
      <c r="AH103">
        <v>0</v>
      </c>
      <c r="AI103">
        <v>200.19499999999999</v>
      </c>
      <c r="AJ103">
        <v>0.85581395348837208</v>
      </c>
      <c r="AK103">
        <v>0.46100000000000002</v>
      </c>
      <c r="AL103">
        <v>-27.908000000000001</v>
      </c>
      <c r="AM103">
        <v>358.88600000000002</v>
      </c>
      <c r="AN103">
        <v>361.10500000000002</v>
      </c>
      <c r="AO103">
        <v>9842</v>
      </c>
      <c r="AP103">
        <v>315.96699999999998</v>
      </c>
      <c r="AQ103">
        <v>361.10500000000002</v>
      </c>
      <c r="AR103">
        <v>1655.067</v>
      </c>
      <c r="AS103">
        <v>1670.1130000000001</v>
      </c>
      <c r="AT103">
        <v>67.706999999999994</v>
      </c>
      <c r="AU103">
        <v>1579.836</v>
      </c>
      <c r="AV103">
        <v>1760.3889999999999</v>
      </c>
      <c r="AW103">
        <v>3233.828</v>
      </c>
      <c r="AX103">
        <v>3204.8110000000001</v>
      </c>
      <c r="AY103">
        <v>74.906999999999996</v>
      </c>
      <c r="AZ103">
        <v>3069.3960000000002</v>
      </c>
      <c r="BA103">
        <v>3475.64</v>
      </c>
      <c r="BB103">
        <v>3.44</v>
      </c>
      <c r="BC103">
        <v>192.155</v>
      </c>
      <c r="BD103">
        <v>192.21700000000001</v>
      </c>
      <c r="BE103">
        <v>1.718</v>
      </c>
      <c r="BF103">
        <v>189.154</v>
      </c>
      <c r="BG103">
        <v>0.37368421052631579</v>
      </c>
      <c r="BH103">
        <v>203.36</v>
      </c>
      <c r="BI103">
        <v>0.99210526315789471</v>
      </c>
      <c r="BJ103">
        <v>0.36799999999999999</v>
      </c>
      <c r="BK103">
        <v>-27.18</v>
      </c>
      <c r="BL103">
        <v>320.81</v>
      </c>
      <c r="BM103">
        <v>319.89600000000002</v>
      </c>
      <c r="BN103">
        <v>8321</v>
      </c>
      <c r="BO103">
        <v>274.197</v>
      </c>
      <c r="BP103">
        <v>365.596</v>
      </c>
      <c r="BQ103">
        <v>1301.8910000000001</v>
      </c>
      <c r="BR103">
        <v>1325.2850000000001</v>
      </c>
      <c r="BS103">
        <v>64.432000000000002</v>
      </c>
      <c r="BT103">
        <v>1188.1869999999999</v>
      </c>
      <c r="BU103">
        <v>1416.684</v>
      </c>
      <c r="BV103">
        <v>3201.3220000000001</v>
      </c>
      <c r="BW103">
        <v>3153.2640000000001</v>
      </c>
      <c r="BX103">
        <v>284.43099999999998</v>
      </c>
      <c r="BY103">
        <v>2604.87</v>
      </c>
      <c r="BZ103">
        <v>3975.855</v>
      </c>
      <c r="CA103">
        <v>3.42</v>
      </c>
    </row>
    <row r="104" spans="1:84" x14ac:dyDescent="0.35">
      <c r="A104" t="s">
        <v>127</v>
      </c>
      <c r="B104" t="str">
        <f t="shared" si="6"/>
        <v xml:space="preserve"> ma_lo_2005_06_26_262</v>
      </c>
      <c r="C104" s="1">
        <f t="shared" si="7"/>
        <v>45750</v>
      </c>
      <c r="D104" t="s">
        <v>78</v>
      </c>
      <c r="E104">
        <v>205.922</v>
      </c>
      <c r="F104">
        <v>206.90299999999999</v>
      </c>
      <c r="G104">
        <v>10.555999999999999</v>
      </c>
      <c r="H104">
        <v>111.48399999999999</v>
      </c>
      <c r="I104">
        <v>0.98516483516483511</v>
      </c>
      <c r="J104">
        <v>217.39400000000001</v>
      </c>
      <c r="K104">
        <v>1.0989010989010988E-2</v>
      </c>
      <c r="L104">
        <v>2.2309999999999999</v>
      </c>
      <c r="M104">
        <v>-27.776</v>
      </c>
      <c r="N104">
        <v>504.49400000000003</v>
      </c>
      <c r="O104">
        <v>501.70600000000002</v>
      </c>
      <c r="P104">
        <v>58.432000000000002</v>
      </c>
      <c r="Q104">
        <v>401.36500000000001</v>
      </c>
      <c r="R104">
        <v>652.21799999999996</v>
      </c>
      <c r="S104">
        <v>1279.07</v>
      </c>
      <c r="T104">
        <v>1304.4369999999999</v>
      </c>
      <c r="U104">
        <v>56.155000000000001</v>
      </c>
      <c r="V104">
        <v>1153.925</v>
      </c>
      <c r="W104">
        <v>1404.778</v>
      </c>
      <c r="X104">
        <v>2875.3359999999998</v>
      </c>
      <c r="Y104">
        <v>2859.7269999999999</v>
      </c>
      <c r="Z104">
        <v>144.988</v>
      </c>
      <c r="AA104">
        <v>2659.0439999999999</v>
      </c>
      <c r="AB104">
        <v>3311.2629999999999</v>
      </c>
      <c r="AC104">
        <v>1.82</v>
      </c>
      <c r="AD104">
        <v>212.53700000000001</v>
      </c>
      <c r="AE104">
        <v>211.43799999999999</v>
      </c>
      <c r="AF104">
        <v>4.5170000000000003</v>
      </c>
      <c r="AG104">
        <v>208.01900000000001</v>
      </c>
      <c r="AH104">
        <v>0.81755319148936167</v>
      </c>
      <c r="AI104">
        <v>237.09700000000001</v>
      </c>
      <c r="AJ104">
        <v>0</v>
      </c>
      <c r="AK104">
        <v>0.55100000000000005</v>
      </c>
      <c r="AL104">
        <v>-31.108000000000001</v>
      </c>
      <c r="AM104">
        <v>355.86399999999998</v>
      </c>
      <c r="AN104">
        <v>358.95299999999997</v>
      </c>
      <c r="AO104">
        <v>20.18</v>
      </c>
      <c r="AP104">
        <v>307.67399999999998</v>
      </c>
      <c r="AQ104">
        <v>461.512</v>
      </c>
      <c r="AR104">
        <v>2514.2280000000001</v>
      </c>
      <c r="AS104">
        <v>2512.674</v>
      </c>
      <c r="AT104">
        <v>156.30799999999999</v>
      </c>
      <c r="AU104">
        <v>1435.8140000000001</v>
      </c>
      <c r="AV104">
        <v>2666.5120000000002</v>
      </c>
      <c r="AW104">
        <v>3125.3240000000001</v>
      </c>
      <c r="AX104">
        <v>3076.7440000000001</v>
      </c>
      <c r="AY104">
        <v>289.14800000000002</v>
      </c>
      <c r="AZ104">
        <v>2717.7910000000002</v>
      </c>
      <c r="BA104">
        <v>4153.6049999999996</v>
      </c>
      <c r="BB104">
        <v>1.88</v>
      </c>
      <c r="BC104">
        <v>205.74</v>
      </c>
      <c r="BD104">
        <v>209.28800000000001</v>
      </c>
      <c r="BE104">
        <v>21.523</v>
      </c>
      <c r="BF104">
        <v>106.669</v>
      </c>
      <c r="BG104">
        <v>0.94999999999999984</v>
      </c>
      <c r="BH104">
        <v>245.39</v>
      </c>
      <c r="BI104">
        <v>0</v>
      </c>
      <c r="BJ104">
        <v>2.2770000000000001</v>
      </c>
      <c r="BK104">
        <v>-28.812999999999999</v>
      </c>
      <c r="BL104">
        <v>339.48</v>
      </c>
      <c r="BM104">
        <v>358.95299999999997</v>
      </c>
      <c r="BN104">
        <v>26.358000000000001</v>
      </c>
      <c r="BO104">
        <v>307.67399999999998</v>
      </c>
      <c r="BP104">
        <v>410.233</v>
      </c>
      <c r="BQ104">
        <v>1066.855</v>
      </c>
      <c r="BR104">
        <v>1076.8599999999999</v>
      </c>
      <c r="BS104">
        <v>30.809000000000001</v>
      </c>
      <c r="BT104">
        <v>1025.5809999999999</v>
      </c>
      <c r="BU104">
        <v>1128.1400000000001</v>
      </c>
      <c r="BV104">
        <v>3438.2939999999999</v>
      </c>
      <c r="BW104">
        <v>3435.6979999999999</v>
      </c>
      <c r="BX104">
        <v>216.61099999999999</v>
      </c>
      <c r="BY104">
        <v>2922.9070000000002</v>
      </c>
      <c r="BZ104">
        <v>3845.93</v>
      </c>
      <c r="CA104">
        <v>1.58</v>
      </c>
      <c r="CB104">
        <v>7</v>
      </c>
      <c r="CC104">
        <v>0</v>
      </c>
      <c r="CD104">
        <v>1</v>
      </c>
      <c r="CE104">
        <v>4</v>
      </c>
      <c r="CF104">
        <v>0</v>
      </c>
    </row>
    <row r="105" spans="1:84" x14ac:dyDescent="0.35">
      <c r="A105" t="s">
        <v>199</v>
      </c>
      <c r="B105" t="str">
        <f t="shared" si="6"/>
        <v xml:space="preserve"> ma_ma_2004_10_11_947</v>
      </c>
      <c r="C105" s="1">
        <f t="shared" si="7"/>
        <v>45758</v>
      </c>
      <c r="D105" t="s">
        <v>78</v>
      </c>
      <c r="E105">
        <v>177.453</v>
      </c>
      <c r="F105">
        <v>176.602</v>
      </c>
      <c r="G105">
        <v>3.6480000000000001</v>
      </c>
      <c r="H105">
        <v>172.941</v>
      </c>
      <c r="I105">
        <v>0.96478873239436636</v>
      </c>
      <c r="J105">
        <v>200.45500000000001</v>
      </c>
      <c r="K105">
        <v>1.4084507042253521E-2</v>
      </c>
      <c r="L105">
        <v>0.55600000000000005</v>
      </c>
      <c r="M105">
        <v>-26.713999999999999</v>
      </c>
      <c r="N105">
        <v>705.245</v>
      </c>
      <c r="O105">
        <v>687.05</v>
      </c>
      <c r="P105">
        <v>61.353999999999999</v>
      </c>
      <c r="Q105">
        <v>558.22799999999995</v>
      </c>
      <c r="R105">
        <v>901.75300000000004</v>
      </c>
      <c r="S105">
        <v>1236.8579999999999</v>
      </c>
      <c r="T105">
        <v>1245.278</v>
      </c>
      <c r="U105">
        <v>29.774000000000001</v>
      </c>
      <c r="V105">
        <v>1159.396</v>
      </c>
      <c r="W105">
        <v>1331.1590000000001</v>
      </c>
      <c r="X105">
        <v>2827.6390000000001</v>
      </c>
      <c r="Y105">
        <v>2834.08</v>
      </c>
      <c r="Z105">
        <v>95.471000000000004</v>
      </c>
      <c r="AA105">
        <v>2318.7930000000001</v>
      </c>
      <c r="AB105">
        <v>2962.902</v>
      </c>
      <c r="AC105">
        <v>1.42</v>
      </c>
      <c r="AD105">
        <v>174.39500000000001</v>
      </c>
      <c r="AE105">
        <v>173.81800000000001</v>
      </c>
      <c r="AF105">
        <v>3.8839999999999999</v>
      </c>
      <c r="AG105">
        <v>170.93</v>
      </c>
      <c r="AH105">
        <v>0.65333333333333332</v>
      </c>
      <c r="AI105">
        <v>196</v>
      </c>
      <c r="AJ105">
        <v>0</v>
      </c>
      <c r="AK105">
        <v>0.48699999999999999</v>
      </c>
      <c r="AL105">
        <v>-29.016999999999999</v>
      </c>
      <c r="AM105">
        <v>352.10199999999998</v>
      </c>
      <c r="AN105">
        <v>331.89100000000002</v>
      </c>
      <c r="AO105">
        <v>21.007000000000001</v>
      </c>
      <c r="AP105">
        <v>331.89100000000002</v>
      </c>
      <c r="AQ105">
        <v>373.37700000000001</v>
      </c>
      <c r="AR105">
        <v>2371.6370000000002</v>
      </c>
      <c r="AS105">
        <v>2364.7220000000002</v>
      </c>
      <c r="AT105">
        <v>88.655000000000001</v>
      </c>
      <c r="AU105">
        <v>2281.75</v>
      </c>
      <c r="AV105">
        <v>2489.1819999999998</v>
      </c>
      <c r="AW105">
        <v>3222.3339999999998</v>
      </c>
      <c r="AX105">
        <v>3152.9630000000002</v>
      </c>
      <c r="AY105">
        <v>183.155</v>
      </c>
      <c r="AZ105">
        <v>2862.5590000000002</v>
      </c>
      <c r="BA105">
        <v>3858.2310000000002</v>
      </c>
      <c r="BB105">
        <v>1.5</v>
      </c>
      <c r="BC105">
        <v>178.46</v>
      </c>
      <c r="BD105">
        <v>176.804</v>
      </c>
      <c r="BE105">
        <v>6.7309999999999999</v>
      </c>
      <c r="BF105">
        <v>175.19900000000001</v>
      </c>
      <c r="BG105">
        <v>0.6166666666666667</v>
      </c>
      <c r="BH105">
        <v>216.17599999999999</v>
      </c>
      <c r="BI105">
        <v>0</v>
      </c>
      <c r="BJ105">
        <v>0.60899999999999999</v>
      </c>
      <c r="BK105">
        <v>-25.552</v>
      </c>
      <c r="BL105">
        <v>380.07499999999999</v>
      </c>
      <c r="BM105">
        <v>385.714</v>
      </c>
      <c r="BN105">
        <v>14.682</v>
      </c>
      <c r="BO105">
        <v>342.85700000000003</v>
      </c>
      <c r="BP105">
        <v>385.714</v>
      </c>
      <c r="BQ105">
        <v>1118.367</v>
      </c>
      <c r="BR105">
        <v>1114.2860000000001</v>
      </c>
      <c r="BS105">
        <v>71.591999999999999</v>
      </c>
      <c r="BT105">
        <v>985.71400000000006</v>
      </c>
      <c r="BU105">
        <v>1242.857</v>
      </c>
      <c r="BV105">
        <v>3054.422</v>
      </c>
      <c r="BW105">
        <v>3000</v>
      </c>
      <c r="BX105">
        <v>150.68100000000001</v>
      </c>
      <c r="BY105">
        <v>2871.4290000000001</v>
      </c>
      <c r="BZ105">
        <v>3600</v>
      </c>
      <c r="CA105">
        <v>1.5</v>
      </c>
      <c r="CB105">
        <v>5</v>
      </c>
      <c r="CC105">
        <v>0</v>
      </c>
      <c r="CD105">
        <v>0</v>
      </c>
      <c r="CE105">
        <v>2</v>
      </c>
      <c r="CF105">
        <v>4</v>
      </c>
    </row>
    <row r="106" spans="1:84" x14ac:dyDescent="0.35">
      <c r="A106" t="s">
        <v>207</v>
      </c>
      <c r="B106" t="str">
        <f t="shared" si="6"/>
        <v xml:space="preserve"> ma_ma_2005_05_18_423</v>
      </c>
      <c r="C106" s="1">
        <f t="shared" si="7"/>
        <v>45746</v>
      </c>
      <c r="D106" t="s">
        <v>78</v>
      </c>
      <c r="E106">
        <v>155.56899999999999</v>
      </c>
      <c r="F106">
        <v>155.43799999999999</v>
      </c>
      <c r="G106">
        <v>2.1760000000000002</v>
      </c>
      <c r="H106">
        <v>150.292</v>
      </c>
      <c r="I106">
        <v>5.3289473684210525E-2</v>
      </c>
      <c r="J106">
        <v>170.27</v>
      </c>
      <c r="K106">
        <v>0.98782894736842108</v>
      </c>
      <c r="L106">
        <v>0.57799999999999996</v>
      </c>
      <c r="M106">
        <v>-24.97</v>
      </c>
      <c r="N106">
        <v>634.40599999999995</v>
      </c>
      <c r="O106">
        <v>633.72799999999995</v>
      </c>
      <c r="P106">
        <v>74.382000000000005</v>
      </c>
      <c r="Q106">
        <v>447.33699999999999</v>
      </c>
      <c r="R106">
        <v>782.84</v>
      </c>
      <c r="S106">
        <v>1171.742</v>
      </c>
      <c r="T106">
        <v>1155.6210000000001</v>
      </c>
      <c r="U106">
        <v>69.944000000000003</v>
      </c>
      <c r="V106">
        <v>1081.0650000000001</v>
      </c>
      <c r="W106">
        <v>1602.9590000000001</v>
      </c>
      <c r="X106">
        <v>2606.1390000000001</v>
      </c>
      <c r="Y106">
        <v>2628.107</v>
      </c>
      <c r="Z106">
        <v>238.38399999999999</v>
      </c>
      <c r="AA106">
        <v>2087.5740000000001</v>
      </c>
      <c r="AB106">
        <v>3094.0830000000001</v>
      </c>
      <c r="AC106">
        <v>3.04</v>
      </c>
      <c r="AD106">
        <v>164.38200000000001</v>
      </c>
      <c r="AE106">
        <v>156.94</v>
      </c>
      <c r="AF106">
        <v>30.311</v>
      </c>
      <c r="AG106">
        <v>149.709</v>
      </c>
      <c r="AH106">
        <v>0.49861111111111112</v>
      </c>
      <c r="AI106">
        <v>300.584</v>
      </c>
      <c r="AJ106">
        <v>0.43090277777777786</v>
      </c>
      <c r="AK106">
        <v>2.2189999999999999</v>
      </c>
      <c r="AL106">
        <v>-24.65</v>
      </c>
      <c r="AM106">
        <v>325.762</v>
      </c>
      <c r="AN106">
        <v>331.57900000000001</v>
      </c>
      <c r="AO106">
        <v>16.428999999999998</v>
      </c>
      <c r="AP106">
        <v>290.13200000000001</v>
      </c>
      <c r="AQ106">
        <v>373.02600000000001</v>
      </c>
      <c r="AR106">
        <v>2196.7109999999998</v>
      </c>
      <c r="AS106">
        <v>2196.7109999999998</v>
      </c>
      <c r="AT106">
        <v>0</v>
      </c>
      <c r="AU106">
        <v>2196.7109999999998</v>
      </c>
      <c r="AV106">
        <v>2196.7109999999998</v>
      </c>
      <c r="AW106">
        <v>3956.4670000000001</v>
      </c>
      <c r="AX106">
        <v>3978.9470000000001</v>
      </c>
      <c r="AY106">
        <v>157.864</v>
      </c>
      <c r="AZ106">
        <v>3274.3420000000001</v>
      </c>
      <c r="BA106">
        <v>4351.9740000000002</v>
      </c>
      <c r="BB106">
        <v>2.88</v>
      </c>
      <c r="BC106">
        <v>160.864</v>
      </c>
      <c r="BD106">
        <v>157.5</v>
      </c>
      <c r="BE106">
        <v>19.623000000000001</v>
      </c>
      <c r="BF106">
        <v>145.202</v>
      </c>
      <c r="BG106">
        <v>0.40859872611464965</v>
      </c>
      <c r="BH106">
        <v>297.97300000000001</v>
      </c>
      <c r="BI106">
        <v>0.41719745222929938</v>
      </c>
      <c r="BJ106">
        <v>2.0209999999999999</v>
      </c>
      <c r="BK106">
        <v>-24.103000000000002</v>
      </c>
      <c r="BL106">
        <v>345.75400000000002</v>
      </c>
      <c r="BM106">
        <v>339.52100000000002</v>
      </c>
      <c r="BN106">
        <v>17.259</v>
      </c>
      <c r="BO106">
        <v>339.52100000000002</v>
      </c>
      <c r="BP106">
        <v>414.97</v>
      </c>
      <c r="BV106">
        <v>4071.9940000000001</v>
      </c>
      <c r="BW106">
        <v>4074.2510000000002</v>
      </c>
      <c r="BX106">
        <v>105.81100000000001</v>
      </c>
      <c r="BY106">
        <v>3697.0059999999999</v>
      </c>
      <c r="BZ106">
        <v>4413.7719999999999</v>
      </c>
      <c r="CA106">
        <v>3.14</v>
      </c>
      <c r="CB106">
        <v>6</v>
      </c>
      <c r="CC106">
        <v>3</v>
      </c>
      <c r="CD106">
        <v>1</v>
      </c>
      <c r="CE106">
        <v>4</v>
      </c>
      <c r="CF106">
        <v>1</v>
      </c>
    </row>
    <row r="107" spans="1:84" x14ac:dyDescent="0.35">
      <c r="A107" t="s">
        <v>168</v>
      </c>
      <c r="B107" t="str">
        <f t="shared" si="6"/>
        <v xml:space="preserve"> ma_ma_2006_04_14_979</v>
      </c>
      <c r="C107" s="1">
        <f t="shared" si="7"/>
        <v>45752</v>
      </c>
      <c r="D107" t="s">
        <v>78</v>
      </c>
      <c r="E107">
        <v>182.14699999999999</v>
      </c>
      <c r="F107">
        <v>178.33600000000001</v>
      </c>
      <c r="G107">
        <v>17.111999999999998</v>
      </c>
      <c r="H107">
        <v>173.81800000000001</v>
      </c>
      <c r="I107">
        <v>4.1250000000000002E-2</v>
      </c>
      <c r="J107">
        <v>272.94400000000002</v>
      </c>
      <c r="K107">
        <v>2.6874999999999996E-2</v>
      </c>
      <c r="L107">
        <v>1.367</v>
      </c>
      <c r="M107">
        <v>-25.234999999999999</v>
      </c>
      <c r="N107">
        <v>601.125</v>
      </c>
      <c r="O107">
        <v>568.18600000000004</v>
      </c>
      <c r="P107">
        <v>105.31399999999999</v>
      </c>
      <c r="Q107">
        <v>480.77300000000002</v>
      </c>
      <c r="R107">
        <v>1136.373</v>
      </c>
      <c r="S107">
        <v>1228.566</v>
      </c>
      <c r="T107">
        <v>1223.7860000000001</v>
      </c>
      <c r="U107">
        <v>46.8</v>
      </c>
      <c r="V107">
        <v>1092.6659999999999</v>
      </c>
      <c r="W107">
        <v>1354.9059999999999</v>
      </c>
      <c r="X107">
        <v>2974.585</v>
      </c>
      <c r="Y107">
        <v>2928.3449999999998</v>
      </c>
      <c r="Z107">
        <v>98.557000000000002</v>
      </c>
      <c r="AA107">
        <v>2797.2249999999999</v>
      </c>
      <c r="AB107">
        <v>3277.998</v>
      </c>
      <c r="AC107">
        <v>1.6</v>
      </c>
      <c r="AD107">
        <v>180.328</v>
      </c>
      <c r="AE107">
        <v>180.21</v>
      </c>
      <c r="AF107">
        <v>2.7050000000000001</v>
      </c>
      <c r="AG107">
        <v>175</v>
      </c>
      <c r="AH107">
        <v>0.78125</v>
      </c>
      <c r="AI107">
        <v>191.14599999999999</v>
      </c>
      <c r="AJ107">
        <v>1.1363636363636364E-2</v>
      </c>
      <c r="AK107">
        <v>0.47</v>
      </c>
      <c r="AL107">
        <v>-28.335999999999999</v>
      </c>
      <c r="AM107">
        <v>343.505</v>
      </c>
      <c r="AN107">
        <v>341.19900000000001</v>
      </c>
      <c r="AO107">
        <v>9.7100000000000009</v>
      </c>
      <c r="AP107">
        <v>341.19900000000001</v>
      </c>
      <c r="AQ107">
        <v>383.84899999999999</v>
      </c>
      <c r="AR107">
        <v>2478.569</v>
      </c>
      <c r="AS107">
        <v>2473.694</v>
      </c>
      <c r="AT107">
        <v>62.692</v>
      </c>
      <c r="AU107">
        <v>2303.0949999999998</v>
      </c>
      <c r="AV107">
        <v>2601.6439999999998</v>
      </c>
      <c r="AW107">
        <v>3367.6129999999998</v>
      </c>
      <c r="AX107">
        <v>3369.3420000000001</v>
      </c>
      <c r="AY107">
        <v>122.363</v>
      </c>
      <c r="AZ107">
        <v>3070.7930000000001</v>
      </c>
      <c r="BA107">
        <v>3625.2420000000002</v>
      </c>
      <c r="BB107">
        <v>1.76</v>
      </c>
      <c r="BC107">
        <v>183.869</v>
      </c>
      <c r="BD107">
        <v>183.477</v>
      </c>
      <c r="BE107">
        <v>3.1509999999999998</v>
      </c>
      <c r="BF107">
        <v>180.42099999999999</v>
      </c>
      <c r="BG107">
        <v>6.1052631578947372E-2</v>
      </c>
      <c r="BH107">
        <v>204.167</v>
      </c>
      <c r="BI107">
        <v>0</v>
      </c>
      <c r="BJ107">
        <v>0.496</v>
      </c>
      <c r="BK107">
        <v>-27.675000000000001</v>
      </c>
      <c r="BL107">
        <v>350.88799999999998</v>
      </c>
      <c r="BM107">
        <v>350.34800000000001</v>
      </c>
      <c r="BN107">
        <v>16.23</v>
      </c>
      <c r="BO107">
        <v>306.55399999999997</v>
      </c>
      <c r="BP107">
        <v>481.72800000000001</v>
      </c>
      <c r="BQ107">
        <v>1062.4179999999999</v>
      </c>
      <c r="BR107">
        <v>1051.0429999999999</v>
      </c>
      <c r="BS107">
        <v>72.936000000000007</v>
      </c>
      <c r="BT107">
        <v>1007.249</v>
      </c>
      <c r="BU107">
        <v>1620.357</v>
      </c>
      <c r="BV107">
        <v>3403.605</v>
      </c>
      <c r="BW107">
        <v>3372.0949999999998</v>
      </c>
      <c r="BX107">
        <v>198.40600000000001</v>
      </c>
      <c r="BY107">
        <v>2977.9540000000002</v>
      </c>
      <c r="BZ107">
        <v>3985.2040000000002</v>
      </c>
      <c r="CA107">
        <v>1.9</v>
      </c>
      <c r="CB107">
        <v>7</v>
      </c>
      <c r="CC107">
        <v>3</v>
      </c>
      <c r="CD107">
        <v>0</v>
      </c>
      <c r="CE107">
        <v>5</v>
      </c>
      <c r="CF107">
        <v>0</v>
      </c>
    </row>
    <row r="108" spans="1:84" x14ac:dyDescent="0.35">
      <c r="A108" t="s">
        <v>107</v>
      </c>
      <c r="B108" t="str">
        <f t="shared" si="6"/>
        <v xml:space="preserve"> ma_mo_2005_03_08_142</v>
      </c>
      <c r="C108" s="1">
        <f t="shared" si="7"/>
        <v>45749</v>
      </c>
      <c r="D108" t="s">
        <v>78</v>
      </c>
      <c r="E108">
        <v>192.20699999999999</v>
      </c>
      <c r="F108">
        <v>192.697</v>
      </c>
      <c r="G108">
        <v>3.4820000000000002</v>
      </c>
      <c r="H108">
        <v>184.40899999999999</v>
      </c>
      <c r="I108">
        <v>0.14249999999999999</v>
      </c>
      <c r="J108">
        <v>202.559</v>
      </c>
      <c r="K108">
        <v>0</v>
      </c>
      <c r="L108">
        <v>0.441</v>
      </c>
      <c r="M108">
        <v>-19.605</v>
      </c>
      <c r="N108">
        <v>795.19799999999998</v>
      </c>
      <c r="O108">
        <v>785.84900000000005</v>
      </c>
      <c r="P108">
        <v>65.441000000000003</v>
      </c>
      <c r="Q108">
        <v>647.16999999999996</v>
      </c>
      <c r="R108">
        <v>970.755</v>
      </c>
      <c r="S108">
        <v>1244.6890000000001</v>
      </c>
      <c r="T108">
        <v>1248.1130000000001</v>
      </c>
      <c r="U108">
        <v>71.531000000000006</v>
      </c>
      <c r="V108">
        <v>1155.6600000000001</v>
      </c>
      <c r="W108">
        <v>1571.6980000000001</v>
      </c>
      <c r="X108">
        <v>2779.1729999999998</v>
      </c>
      <c r="Y108">
        <v>2819.8110000000001</v>
      </c>
      <c r="Z108">
        <v>217.459</v>
      </c>
      <c r="AA108">
        <v>2265.0940000000001</v>
      </c>
      <c r="AB108">
        <v>3836.7919999999999</v>
      </c>
      <c r="AC108">
        <v>2</v>
      </c>
      <c r="AD108">
        <v>182.423</v>
      </c>
      <c r="AE108">
        <v>184.40899999999999</v>
      </c>
      <c r="AF108">
        <v>21.376000000000001</v>
      </c>
      <c r="AG108">
        <v>95.454999999999998</v>
      </c>
      <c r="AH108">
        <v>0.97048192771084341</v>
      </c>
      <c r="AI108">
        <v>269.37200000000001</v>
      </c>
      <c r="AJ108">
        <v>1.2048192771084338E-2</v>
      </c>
      <c r="AK108">
        <v>2.2269999999999999</v>
      </c>
      <c r="AL108">
        <v>-27.491</v>
      </c>
      <c r="AM108">
        <v>329.685</v>
      </c>
      <c r="AN108">
        <v>346.90300000000002</v>
      </c>
      <c r="AO108">
        <v>22.65</v>
      </c>
      <c r="AP108">
        <v>303.54000000000002</v>
      </c>
      <c r="AQ108">
        <v>390.26499999999999</v>
      </c>
      <c r="AR108">
        <v>2452.5720000000001</v>
      </c>
      <c r="AS108">
        <v>2471.681</v>
      </c>
      <c r="AT108">
        <v>54.179000000000002</v>
      </c>
      <c r="AU108">
        <v>2254.8670000000002</v>
      </c>
      <c r="AV108">
        <v>2515.0439999999999</v>
      </c>
      <c r="AW108">
        <v>3798.2179999999998</v>
      </c>
      <c r="AX108">
        <v>3772.5659999999998</v>
      </c>
      <c r="AY108">
        <v>102.505</v>
      </c>
      <c r="AZ108">
        <v>3599.1149999999998</v>
      </c>
      <c r="BA108">
        <v>4032.7429999999999</v>
      </c>
      <c r="BB108">
        <v>1.66</v>
      </c>
      <c r="BC108">
        <v>191.77600000000001</v>
      </c>
      <c r="BD108">
        <v>194.886</v>
      </c>
      <c r="BE108">
        <v>22.334</v>
      </c>
      <c r="BF108">
        <v>95.87</v>
      </c>
      <c r="BG108">
        <v>0.95000000000000007</v>
      </c>
      <c r="BH108">
        <v>276.11799999999999</v>
      </c>
      <c r="BI108">
        <v>1.1702127659574468E-2</v>
      </c>
      <c r="BJ108">
        <v>3.8490000000000002</v>
      </c>
      <c r="BK108">
        <v>-26.364000000000001</v>
      </c>
      <c r="BL108">
        <v>360.20299999999997</v>
      </c>
      <c r="BM108">
        <v>367.11799999999999</v>
      </c>
      <c r="BN108">
        <v>21.183</v>
      </c>
      <c r="BO108">
        <v>275.33800000000002</v>
      </c>
      <c r="BP108">
        <v>413.00700000000001</v>
      </c>
      <c r="BQ108">
        <v>1311.134</v>
      </c>
      <c r="BR108">
        <v>1147.242</v>
      </c>
      <c r="BS108">
        <v>227.87</v>
      </c>
      <c r="BT108">
        <v>1101.3530000000001</v>
      </c>
      <c r="BU108">
        <v>1652.029</v>
      </c>
      <c r="BV108">
        <v>3392.0590000000002</v>
      </c>
      <c r="BW108">
        <v>3441.7269999999999</v>
      </c>
      <c r="BX108">
        <v>218.84700000000001</v>
      </c>
      <c r="BY108">
        <v>2799.2719999999999</v>
      </c>
      <c r="BZ108">
        <v>3717.0659999999998</v>
      </c>
      <c r="CA108">
        <v>1.88</v>
      </c>
      <c r="CB108">
        <v>8</v>
      </c>
      <c r="CC108">
        <v>0</v>
      </c>
      <c r="CD108">
        <v>0</v>
      </c>
      <c r="CE108">
        <v>4</v>
      </c>
      <c r="CF108">
        <v>5</v>
      </c>
    </row>
    <row r="109" spans="1:84" x14ac:dyDescent="0.35">
      <c r="A109" t="s">
        <v>214</v>
      </c>
      <c r="B109" t="str">
        <f t="shared" si="6"/>
        <v xml:space="preserve"> ma_mo_2006_01_19_745</v>
      </c>
      <c r="C109" s="1">
        <f t="shared" si="7"/>
        <v>45747</v>
      </c>
      <c r="D109" t="s">
        <v>78</v>
      </c>
      <c r="E109">
        <v>209.43199999999999</v>
      </c>
      <c r="F109">
        <v>200.58500000000001</v>
      </c>
      <c r="G109">
        <v>20.545000000000002</v>
      </c>
      <c r="H109">
        <v>194.15100000000001</v>
      </c>
      <c r="I109">
        <v>0.25172413793103449</v>
      </c>
      <c r="J109">
        <v>277.358</v>
      </c>
      <c r="K109">
        <v>0</v>
      </c>
      <c r="L109">
        <v>2.4460000000000002</v>
      </c>
      <c r="M109">
        <v>-25.501999999999999</v>
      </c>
      <c r="N109">
        <v>562.26499999999999</v>
      </c>
      <c r="O109">
        <v>547.51700000000005</v>
      </c>
      <c r="P109">
        <v>157.893</v>
      </c>
      <c r="Q109">
        <v>298.64600000000002</v>
      </c>
      <c r="R109">
        <v>1095.0340000000001</v>
      </c>
      <c r="S109">
        <v>1120.9159999999999</v>
      </c>
      <c r="T109">
        <v>1095.0340000000001</v>
      </c>
      <c r="U109">
        <v>92.138000000000005</v>
      </c>
      <c r="V109">
        <v>995.48500000000001</v>
      </c>
      <c r="W109">
        <v>1493.2280000000001</v>
      </c>
      <c r="X109">
        <v>2667.5320000000002</v>
      </c>
      <c r="Y109">
        <v>2638.0360000000001</v>
      </c>
      <c r="Z109">
        <v>92.872</v>
      </c>
      <c r="AA109">
        <v>2588.2620000000002</v>
      </c>
      <c r="AB109">
        <v>2986.4560000000001</v>
      </c>
      <c r="AC109">
        <v>0.57999999999999996</v>
      </c>
      <c r="AD109">
        <v>223.196</v>
      </c>
      <c r="AE109">
        <v>211.72800000000001</v>
      </c>
      <c r="AF109">
        <v>22.670999999999999</v>
      </c>
      <c r="AG109">
        <v>204.30199999999999</v>
      </c>
      <c r="AH109">
        <v>0.47199999999999998</v>
      </c>
      <c r="AI109">
        <v>277.358</v>
      </c>
      <c r="AJ109">
        <v>0.90600000000000003</v>
      </c>
      <c r="AK109">
        <v>2.0870000000000002</v>
      </c>
      <c r="AL109">
        <v>-28.12</v>
      </c>
      <c r="AM109">
        <v>311.39100000000002</v>
      </c>
      <c r="AN109">
        <v>317.26600000000002</v>
      </c>
      <c r="AO109">
        <v>31.776</v>
      </c>
      <c r="AP109">
        <v>264.38799999999998</v>
      </c>
      <c r="AQ109">
        <v>370.14400000000001</v>
      </c>
      <c r="AR109">
        <v>2432.3739999999998</v>
      </c>
      <c r="AS109">
        <v>2432.3739999999998</v>
      </c>
      <c r="AT109">
        <v>52.878</v>
      </c>
      <c r="AU109">
        <v>2379.4960000000001</v>
      </c>
      <c r="AV109">
        <v>2485.252</v>
      </c>
      <c r="AW109">
        <v>3223.424</v>
      </c>
      <c r="AX109">
        <v>3225.54</v>
      </c>
      <c r="AY109">
        <v>95.911000000000001</v>
      </c>
      <c r="AZ109">
        <v>3066.9059999999999</v>
      </c>
      <c r="BA109">
        <v>3384.1729999999998</v>
      </c>
      <c r="BB109">
        <v>0.5</v>
      </c>
      <c r="BC109">
        <v>222.24700000000001</v>
      </c>
      <c r="BD109">
        <v>212.31100000000001</v>
      </c>
      <c r="BE109">
        <v>26.484999999999999</v>
      </c>
      <c r="BF109">
        <v>197.37899999999999</v>
      </c>
      <c r="BG109">
        <v>0.47391304347826085</v>
      </c>
      <c r="BH109">
        <v>286.36399999999998</v>
      </c>
      <c r="BI109">
        <v>0.94565217391304346</v>
      </c>
      <c r="BJ109">
        <v>2.9550000000000001</v>
      </c>
      <c r="BK109">
        <v>-23.782</v>
      </c>
      <c r="BL109">
        <v>350.916</v>
      </c>
      <c r="BM109">
        <v>370.14400000000001</v>
      </c>
      <c r="BN109">
        <v>30.727</v>
      </c>
      <c r="BO109">
        <v>264.38799999999998</v>
      </c>
      <c r="BP109">
        <v>370.14400000000001</v>
      </c>
      <c r="BQ109">
        <v>1269.0650000000001</v>
      </c>
      <c r="BR109">
        <v>1269.0650000000001</v>
      </c>
      <c r="BS109">
        <v>0</v>
      </c>
      <c r="BT109">
        <v>1269.0650000000001</v>
      </c>
      <c r="BU109">
        <v>1269.0650000000001</v>
      </c>
      <c r="BV109">
        <v>3232.4369999999999</v>
      </c>
      <c r="BW109">
        <v>3278.4169999999999</v>
      </c>
      <c r="BX109">
        <v>184.76599999999999</v>
      </c>
      <c r="BY109">
        <v>2855.3960000000002</v>
      </c>
      <c r="BZ109">
        <v>3595.683</v>
      </c>
      <c r="CA109">
        <v>0.46</v>
      </c>
      <c r="CB109">
        <v>5</v>
      </c>
      <c r="CC109">
        <v>5</v>
      </c>
      <c r="CD109">
        <v>0</v>
      </c>
      <c r="CE109">
        <v>6</v>
      </c>
      <c r="CF109">
        <v>5</v>
      </c>
    </row>
    <row r="110" spans="1:84" x14ac:dyDescent="0.35">
      <c r="A110" t="s">
        <v>169</v>
      </c>
      <c r="B110" t="str">
        <f t="shared" si="6"/>
        <v xml:space="preserve"> ma_pe_2005_09_29_691</v>
      </c>
      <c r="C110" s="1">
        <f t="shared" si="7"/>
        <v>45752</v>
      </c>
      <c r="D110" t="s">
        <v>78</v>
      </c>
      <c r="E110">
        <v>232.53700000000001</v>
      </c>
      <c r="F110">
        <v>231.49600000000001</v>
      </c>
      <c r="G110">
        <v>5.41</v>
      </c>
      <c r="H110">
        <v>221.608</v>
      </c>
      <c r="I110">
        <v>0</v>
      </c>
      <c r="J110">
        <v>274.88900000000001</v>
      </c>
      <c r="K110">
        <v>0.9682608695652174</v>
      </c>
      <c r="L110">
        <v>0.58499999999999996</v>
      </c>
      <c r="M110">
        <v>-26.795999999999999</v>
      </c>
      <c r="N110">
        <v>522.76800000000003</v>
      </c>
      <c r="O110">
        <v>509.49900000000002</v>
      </c>
      <c r="P110">
        <v>49.466999999999999</v>
      </c>
      <c r="Q110">
        <v>339.666</v>
      </c>
      <c r="R110">
        <v>849.16600000000005</v>
      </c>
      <c r="S110">
        <v>1257.125</v>
      </c>
      <c r="T110">
        <v>1245.443</v>
      </c>
      <c r="U110">
        <v>50.287999999999997</v>
      </c>
      <c r="V110">
        <v>1075.6099999999999</v>
      </c>
      <c r="W110">
        <v>1358.665</v>
      </c>
      <c r="X110">
        <v>2727.944</v>
      </c>
      <c r="Y110">
        <v>2717.33</v>
      </c>
      <c r="Z110">
        <v>146.75800000000001</v>
      </c>
      <c r="AA110">
        <v>2434.2750000000001</v>
      </c>
      <c r="AB110">
        <v>3340.0509999999999</v>
      </c>
      <c r="AC110">
        <v>2.2999999999999998</v>
      </c>
      <c r="AD110">
        <v>216.07499999999999</v>
      </c>
      <c r="AE110">
        <v>218.78100000000001</v>
      </c>
      <c r="AF110">
        <v>19.466999999999999</v>
      </c>
      <c r="AG110">
        <v>107.002</v>
      </c>
      <c r="AH110">
        <v>8.8785046728971952E-3</v>
      </c>
      <c r="AI110">
        <v>270.78899999999999</v>
      </c>
      <c r="AJ110">
        <v>0</v>
      </c>
      <c r="AK110">
        <v>2.6880000000000002</v>
      </c>
      <c r="AL110">
        <v>-29.558</v>
      </c>
      <c r="AM110">
        <v>374.27600000000001</v>
      </c>
      <c r="AN110">
        <v>372.37599999999998</v>
      </c>
      <c r="AO110">
        <v>22.5</v>
      </c>
      <c r="AP110">
        <v>319.18</v>
      </c>
      <c r="AQ110">
        <v>585.16300000000001</v>
      </c>
      <c r="AR110">
        <v>2324.9769999999999</v>
      </c>
      <c r="AS110">
        <v>2340.6509999999998</v>
      </c>
      <c r="AT110">
        <v>105.101</v>
      </c>
      <c r="AU110">
        <v>1649.095</v>
      </c>
      <c r="AV110">
        <v>2393.848</v>
      </c>
      <c r="AW110">
        <v>2833.67</v>
      </c>
      <c r="AX110">
        <v>2819.4209999999998</v>
      </c>
      <c r="AY110">
        <v>131.47</v>
      </c>
      <c r="AZ110">
        <v>2553.4380000000001</v>
      </c>
      <c r="BA110">
        <v>3404.5839999999998</v>
      </c>
      <c r="BB110">
        <v>2.14</v>
      </c>
      <c r="BC110">
        <v>220.523</v>
      </c>
      <c r="BD110">
        <v>220.815</v>
      </c>
      <c r="BE110">
        <v>4.3940000000000001</v>
      </c>
      <c r="BF110">
        <v>203.62799999999999</v>
      </c>
      <c r="BG110">
        <v>0</v>
      </c>
      <c r="BH110">
        <v>245</v>
      </c>
      <c r="BI110">
        <v>0.975229357798165</v>
      </c>
      <c r="BJ110">
        <v>0.46600000000000003</v>
      </c>
      <c r="BK110">
        <v>-30.082999999999998</v>
      </c>
      <c r="BL110">
        <v>423.19600000000003</v>
      </c>
      <c r="BM110">
        <v>425.06</v>
      </c>
      <c r="BN110">
        <v>15.695</v>
      </c>
      <c r="BO110">
        <v>371.928</v>
      </c>
      <c r="BP110">
        <v>531.32500000000005</v>
      </c>
      <c r="BQ110">
        <v>1010.45</v>
      </c>
      <c r="BR110">
        <v>1009.518</v>
      </c>
      <c r="BS110">
        <v>49.472000000000001</v>
      </c>
      <c r="BT110">
        <v>903.25300000000004</v>
      </c>
      <c r="BU110">
        <v>1168.9159999999999</v>
      </c>
      <c r="BV110">
        <v>2747.9769999999999</v>
      </c>
      <c r="BW110">
        <v>2709.759</v>
      </c>
      <c r="BX110">
        <v>122.943</v>
      </c>
      <c r="BY110">
        <v>2550.3609999999999</v>
      </c>
      <c r="BZ110">
        <v>3134.819</v>
      </c>
      <c r="CA110">
        <v>2.1800000000000002</v>
      </c>
      <c r="CB110">
        <v>3</v>
      </c>
      <c r="CC110">
        <v>5</v>
      </c>
      <c r="CD110">
        <v>3</v>
      </c>
      <c r="CE110">
        <v>6</v>
      </c>
      <c r="CF110">
        <v>0</v>
      </c>
    </row>
    <row r="111" spans="1:84" x14ac:dyDescent="0.35">
      <c r="A111" t="s">
        <v>91</v>
      </c>
      <c r="B111" t="str">
        <f t="shared" si="6"/>
        <v xml:space="preserve"> ma_pi_2004_12_22_169</v>
      </c>
      <c r="C111" s="1">
        <f t="shared" si="7"/>
        <v>45748</v>
      </c>
      <c r="D111" t="s">
        <v>78</v>
      </c>
      <c r="E111">
        <v>166.745</v>
      </c>
      <c r="F111">
        <v>165.345</v>
      </c>
      <c r="G111">
        <v>8.6890000000000001</v>
      </c>
      <c r="H111">
        <v>162.047</v>
      </c>
      <c r="I111">
        <v>0.6775862068965518</v>
      </c>
      <c r="J111">
        <v>243.64599999999999</v>
      </c>
      <c r="K111">
        <v>0</v>
      </c>
      <c r="L111">
        <v>0.79600000000000004</v>
      </c>
      <c r="M111">
        <v>-22.221</v>
      </c>
      <c r="N111">
        <v>827.702</v>
      </c>
      <c r="O111">
        <v>837.34199999999998</v>
      </c>
      <c r="P111">
        <v>53.277999999999999</v>
      </c>
      <c r="Q111">
        <v>558.22799999999995</v>
      </c>
      <c r="R111">
        <v>917.08900000000006</v>
      </c>
      <c r="S111">
        <v>1257.1079999999999</v>
      </c>
      <c r="T111">
        <v>1275.9490000000001</v>
      </c>
      <c r="U111">
        <v>54.588000000000001</v>
      </c>
      <c r="V111">
        <v>1156.329</v>
      </c>
      <c r="W111">
        <v>1634.81</v>
      </c>
      <c r="X111">
        <v>2920.3989999999999</v>
      </c>
      <c r="Y111">
        <v>2910.759</v>
      </c>
      <c r="Z111">
        <v>175.45699999999999</v>
      </c>
      <c r="AA111">
        <v>2551.8989999999999</v>
      </c>
      <c r="AB111">
        <v>3628.4810000000002</v>
      </c>
      <c r="AC111">
        <v>2.3199999999999998</v>
      </c>
      <c r="AD111">
        <v>175.09399999999999</v>
      </c>
      <c r="AE111">
        <v>173.62200000000001</v>
      </c>
      <c r="AF111">
        <v>6.9349999999999996</v>
      </c>
      <c r="AG111">
        <v>157.5</v>
      </c>
      <c r="AH111">
        <v>0.98392857142857137</v>
      </c>
      <c r="AI111">
        <v>221.13200000000001</v>
      </c>
      <c r="AJ111">
        <v>0</v>
      </c>
      <c r="AK111">
        <v>0.89400000000000002</v>
      </c>
      <c r="AL111">
        <v>-27.314</v>
      </c>
      <c r="AM111">
        <v>342.82400000000001</v>
      </c>
      <c r="AN111">
        <v>337.608</v>
      </c>
      <c r="AO111">
        <v>15.348000000000001</v>
      </c>
      <c r="AP111">
        <v>337.608</v>
      </c>
      <c r="AQ111">
        <v>422.01</v>
      </c>
      <c r="AR111">
        <v>2514.1680000000001</v>
      </c>
      <c r="AS111">
        <v>2532.0569999999998</v>
      </c>
      <c r="AT111">
        <v>65.983000000000004</v>
      </c>
      <c r="AU111">
        <v>2236.6509999999998</v>
      </c>
      <c r="AV111">
        <v>2574.2579999999998</v>
      </c>
      <c r="AW111">
        <v>3837.1109999999999</v>
      </c>
      <c r="AX111">
        <v>3840.2869999999998</v>
      </c>
      <c r="AY111">
        <v>123.857</v>
      </c>
      <c r="AZ111">
        <v>3333.8760000000002</v>
      </c>
      <c r="BA111">
        <v>4177.8950000000004</v>
      </c>
      <c r="BB111">
        <v>2.2400000000000002</v>
      </c>
      <c r="BC111">
        <v>175.41</v>
      </c>
      <c r="BD111">
        <v>174.654</v>
      </c>
      <c r="BE111">
        <v>3.1190000000000002</v>
      </c>
      <c r="BF111">
        <v>170.083</v>
      </c>
      <c r="BG111">
        <v>8.3333333333333332E-3</v>
      </c>
      <c r="BH111">
        <v>188.34700000000001</v>
      </c>
      <c r="BI111">
        <v>2.8333333333333335E-2</v>
      </c>
      <c r="BJ111">
        <v>0.51300000000000001</v>
      </c>
      <c r="BK111">
        <v>-30.385999999999999</v>
      </c>
      <c r="BL111">
        <v>373.31599999999997</v>
      </c>
      <c r="BM111">
        <v>378.36</v>
      </c>
      <c r="BN111">
        <v>16.122</v>
      </c>
      <c r="BO111">
        <v>336.32</v>
      </c>
      <c r="BP111">
        <v>420.4</v>
      </c>
      <c r="BQ111">
        <v>1136.9090000000001</v>
      </c>
      <c r="BR111">
        <v>1135.0809999999999</v>
      </c>
      <c r="BS111">
        <v>39.374000000000002</v>
      </c>
      <c r="BT111">
        <v>1051.001</v>
      </c>
      <c r="BU111">
        <v>1261.201</v>
      </c>
      <c r="BV111">
        <v>3995.0650000000001</v>
      </c>
      <c r="BW111">
        <v>3993.8040000000001</v>
      </c>
      <c r="BX111">
        <v>90.314999999999998</v>
      </c>
      <c r="BY111">
        <v>3237.0830000000001</v>
      </c>
      <c r="BZ111">
        <v>4077.884</v>
      </c>
      <c r="CA111">
        <v>2.4</v>
      </c>
      <c r="CB111">
        <v>8</v>
      </c>
      <c r="CC111">
        <v>6</v>
      </c>
      <c r="CD111">
        <v>0</v>
      </c>
      <c r="CE111">
        <v>6</v>
      </c>
      <c r="CF111">
        <v>2</v>
      </c>
    </row>
    <row r="112" spans="1:84" x14ac:dyDescent="0.35">
      <c r="A112" t="s">
        <v>92</v>
      </c>
      <c r="B112" t="str">
        <f t="shared" si="6"/>
        <v xml:space="preserve"> ma_ro_2004_01_18_699</v>
      </c>
      <c r="C112" s="1">
        <f t="shared" si="7"/>
        <v>45748</v>
      </c>
      <c r="D112" t="s">
        <v>78</v>
      </c>
      <c r="E112">
        <v>195.72399999999999</v>
      </c>
      <c r="F112">
        <v>194.76300000000001</v>
      </c>
      <c r="G112">
        <v>6.5620000000000003</v>
      </c>
      <c r="H112">
        <v>186.864</v>
      </c>
      <c r="I112">
        <v>0.99839999999999995</v>
      </c>
      <c r="J112">
        <v>239.67400000000001</v>
      </c>
      <c r="K112">
        <v>8.0000000000000002E-3</v>
      </c>
      <c r="L112">
        <v>0.57899999999999996</v>
      </c>
      <c r="M112">
        <v>-24.274999999999999</v>
      </c>
      <c r="N112">
        <v>628.60900000000004</v>
      </c>
      <c r="O112">
        <v>614.46900000000005</v>
      </c>
      <c r="P112">
        <v>80.507999999999996</v>
      </c>
      <c r="Q112">
        <v>425.40199999999999</v>
      </c>
      <c r="R112">
        <v>803.53700000000003</v>
      </c>
      <c r="S112">
        <v>1136.1559999999999</v>
      </c>
      <c r="T112">
        <v>1134.405</v>
      </c>
      <c r="U112">
        <v>54.037999999999997</v>
      </c>
      <c r="V112">
        <v>992.60500000000002</v>
      </c>
      <c r="W112">
        <v>1323.473</v>
      </c>
      <c r="X112">
        <v>2645.7330000000002</v>
      </c>
      <c r="Y112">
        <v>2552.4119999999998</v>
      </c>
      <c r="Z112">
        <v>277.315</v>
      </c>
      <c r="AA112">
        <v>2174.277</v>
      </c>
      <c r="AB112">
        <v>3875.884</v>
      </c>
      <c r="AC112">
        <v>2.5</v>
      </c>
      <c r="AD112">
        <v>198.45699999999999</v>
      </c>
      <c r="AE112">
        <v>196.875</v>
      </c>
      <c r="AF112">
        <v>5.4370000000000003</v>
      </c>
      <c r="AG112">
        <v>194.76300000000001</v>
      </c>
      <c r="AH112">
        <v>0.68942307692307681</v>
      </c>
      <c r="AI112">
        <v>236.00899999999999</v>
      </c>
      <c r="AJ112">
        <v>6.41025641025641E-3</v>
      </c>
      <c r="AK112">
        <v>0.35</v>
      </c>
      <c r="AL112">
        <v>-30.670999999999999</v>
      </c>
      <c r="AM112">
        <v>290.03500000000003</v>
      </c>
      <c r="AN112">
        <v>286.36399999999998</v>
      </c>
      <c r="AO112">
        <v>23.556000000000001</v>
      </c>
      <c r="AP112">
        <v>238.636</v>
      </c>
      <c r="AQ112">
        <v>334.09100000000001</v>
      </c>
      <c r="AR112">
        <v>1535.6949999999999</v>
      </c>
      <c r="AS112">
        <v>1479.5450000000001</v>
      </c>
      <c r="AT112">
        <v>188.929</v>
      </c>
      <c r="AU112">
        <v>1288.636</v>
      </c>
      <c r="AV112">
        <v>2100</v>
      </c>
      <c r="AW112">
        <v>3886.0390000000002</v>
      </c>
      <c r="AX112">
        <v>3865.9090000000001</v>
      </c>
      <c r="AY112">
        <v>177.08099999999999</v>
      </c>
      <c r="AZ112">
        <v>3006.8180000000002</v>
      </c>
      <c r="BA112">
        <v>4247.7269999999999</v>
      </c>
      <c r="BB112">
        <v>3.12</v>
      </c>
      <c r="BC112">
        <v>204.60400000000001</v>
      </c>
      <c r="BD112">
        <v>203.226</v>
      </c>
      <c r="BE112">
        <v>4.21</v>
      </c>
      <c r="BF112">
        <v>190.90899999999999</v>
      </c>
      <c r="BG112">
        <v>0.99879032258064515</v>
      </c>
      <c r="BH112">
        <v>225</v>
      </c>
      <c r="BI112">
        <v>8.0645161290322578E-3</v>
      </c>
      <c r="BJ112">
        <v>0.35499999999999998</v>
      </c>
      <c r="BK112">
        <v>-31.012</v>
      </c>
      <c r="BL112">
        <v>349.84399999999999</v>
      </c>
      <c r="BM112">
        <v>344.916</v>
      </c>
      <c r="BN112">
        <v>16.16</v>
      </c>
      <c r="BO112">
        <v>295.642</v>
      </c>
      <c r="BP112">
        <v>394.19</v>
      </c>
      <c r="BQ112">
        <v>930.245</v>
      </c>
      <c r="BR112">
        <v>936.20100000000002</v>
      </c>
      <c r="BS112">
        <v>42.725999999999999</v>
      </c>
      <c r="BT112">
        <v>886.92700000000002</v>
      </c>
      <c r="BU112">
        <v>1281.117</v>
      </c>
      <c r="BV112">
        <v>3510.652</v>
      </c>
      <c r="BW112">
        <v>3547.7089999999998</v>
      </c>
      <c r="BX112">
        <v>335.83800000000002</v>
      </c>
      <c r="BY112">
        <v>2562.2350000000001</v>
      </c>
      <c r="BZ112">
        <v>4237.5420000000004</v>
      </c>
      <c r="CA112">
        <v>2.48</v>
      </c>
      <c r="CB112">
        <v>7</v>
      </c>
      <c r="CC112">
        <v>2</v>
      </c>
      <c r="CD112">
        <v>0</v>
      </c>
      <c r="CE112">
        <v>3</v>
      </c>
      <c r="CF112">
        <v>0</v>
      </c>
    </row>
    <row r="113" spans="1:84" x14ac:dyDescent="0.35">
      <c r="A113" t="s">
        <v>204</v>
      </c>
      <c r="B113" t="str">
        <f t="shared" si="6"/>
        <v xml:space="preserve"> ma_ro_2005_05_30_806</v>
      </c>
      <c r="C113" s="1">
        <f t="shared" si="7"/>
        <v>45745</v>
      </c>
      <c r="D113" t="s">
        <v>78</v>
      </c>
      <c r="E113">
        <v>171.53100000000001</v>
      </c>
      <c r="F113">
        <v>171.31</v>
      </c>
      <c r="G113">
        <v>3.4260000000000002</v>
      </c>
      <c r="H113">
        <v>149.13</v>
      </c>
      <c r="I113">
        <v>0</v>
      </c>
      <c r="J113">
        <v>184.29900000000001</v>
      </c>
      <c r="K113">
        <v>0.98825503355704691</v>
      </c>
      <c r="L113">
        <v>0.92300000000000004</v>
      </c>
      <c r="M113">
        <v>-29.484999999999999</v>
      </c>
      <c r="N113">
        <v>486.34699999999998</v>
      </c>
      <c r="O113">
        <v>493.197</v>
      </c>
      <c r="P113">
        <v>42.402999999999999</v>
      </c>
      <c r="Q113">
        <v>410.99700000000001</v>
      </c>
      <c r="R113">
        <v>616.49599999999998</v>
      </c>
      <c r="S113">
        <v>1303.7940000000001</v>
      </c>
      <c r="T113">
        <v>1315.191</v>
      </c>
      <c r="U113">
        <v>65.516000000000005</v>
      </c>
      <c r="V113">
        <v>1191.8920000000001</v>
      </c>
      <c r="W113">
        <v>1561.789</v>
      </c>
      <c r="X113">
        <v>3247.8969999999999</v>
      </c>
      <c r="Y113">
        <v>3246.8780000000002</v>
      </c>
      <c r="Z113">
        <v>192.88200000000001</v>
      </c>
      <c r="AA113">
        <v>2671.482</v>
      </c>
      <c r="AB113">
        <v>3698.9749999999999</v>
      </c>
      <c r="AC113">
        <v>2.98</v>
      </c>
      <c r="AD113">
        <v>165.643</v>
      </c>
      <c r="AE113">
        <v>165.08</v>
      </c>
      <c r="AF113">
        <v>3.3029999999999999</v>
      </c>
      <c r="AG113">
        <v>159.78299999999999</v>
      </c>
      <c r="AH113">
        <v>0.82435897435897432</v>
      </c>
      <c r="AI113">
        <v>187.774</v>
      </c>
      <c r="AJ113">
        <v>0</v>
      </c>
      <c r="AK113">
        <v>0.56999999999999995</v>
      </c>
      <c r="AL113">
        <v>-27.51</v>
      </c>
      <c r="AM113">
        <v>330.94799999999998</v>
      </c>
      <c r="AN113">
        <v>316.697</v>
      </c>
      <c r="AO113">
        <v>19.195</v>
      </c>
      <c r="AP113">
        <v>316.697</v>
      </c>
      <c r="AQ113">
        <v>356.28399999999999</v>
      </c>
      <c r="AW113">
        <v>3563.1610000000001</v>
      </c>
      <c r="AX113">
        <v>3562.837</v>
      </c>
      <c r="AY113">
        <v>107.544</v>
      </c>
      <c r="AZ113">
        <v>3285.7269999999999</v>
      </c>
      <c r="BA113">
        <v>3839.9459999999999</v>
      </c>
      <c r="BB113">
        <v>3.12</v>
      </c>
      <c r="BC113">
        <v>173.048</v>
      </c>
      <c r="BD113">
        <v>172.74799999999999</v>
      </c>
      <c r="BE113">
        <v>2.5329999999999999</v>
      </c>
      <c r="BF113">
        <v>166.41499999999999</v>
      </c>
      <c r="BG113">
        <v>1</v>
      </c>
      <c r="BH113">
        <v>188.69200000000001</v>
      </c>
      <c r="BI113">
        <v>6.41025641025641E-3</v>
      </c>
      <c r="BJ113">
        <v>0.53800000000000003</v>
      </c>
      <c r="BK113">
        <v>-28.35</v>
      </c>
      <c r="BL113">
        <v>374.86799999999999</v>
      </c>
      <c r="BM113">
        <v>371.62900000000002</v>
      </c>
      <c r="BN113">
        <v>11.212</v>
      </c>
      <c r="BO113">
        <v>371.62900000000002</v>
      </c>
      <c r="BP113">
        <v>412.92099999999999</v>
      </c>
      <c r="BQ113">
        <v>1062.5170000000001</v>
      </c>
      <c r="BR113">
        <v>1073.596</v>
      </c>
      <c r="BS113">
        <v>32.017000000000003</v>
      </c>
      <c r="BT113">
        <v>1032.3030000000001</v>
      </c>
      <c r="BU113">
        <v>1197.472</v>
      </c>
      <c r="BV113">
        <v>3513.38</v>
      </c>
      <c r="BW113">
        <v>3509.8310000000001</v>
      </c>
      <c r="BX113">
        <v>196.29599999999999</v>
      </c>
      <c r="BY113">
        <v>2931.7420000000002</v>
      </c>
      <c r="BZ113">
        <v>3922.7530000000002</v>
      </c>
      <c r="CA113">
        <v>3.12</v>
      </c>
    </row>
    <row r="114" spans="1:84" x14ac:dyDescent="0.35">
      <c r="A114" t="s">
        <v>215</v>
      </c>
      <c r="B114" t="str">
        <f t="shared" si="6"/>
        <v xml:space="preserve"> ma_ro_2005_07_29_713</v>
      </c>
      <c r="C114" s="1">
        <f t="shared" si="7"/>
        <v>45747</v>
      </c>
      <c r="D114" t="s">
        <v>78</v>
      </c>
      <c r="E114">
        <v>158.20599999999999</v>
      </c>
      <c r="F114">
        <v>157.38</v>
      </c>
      <c r="G114">
        <v>4.4610000000000003</v>
      </c>
      <c r="H114">
        <v>154.892</v>
      </c>
      <c r="I114">
        <v>8.5964912280701758E-2</v>
      </c>
      <c r="J114">
        <v>196</v>
      </c>
      <c r="K114">
        <v>0</v>
      </c>
      <c r="L114">
        <v>0.47399999999999998</v>
      </c>
      <c r="M114">
        <v>-25.835999999999999</v>
      </c>
      <c r="N114">
        <v>632.18100000000004</v>
      </c>
      <c r="O114">
        <v>641.31700000000001</v>
      </c>
      <c r="P114">
        <v>68.888000000000005</v>
      </c>
      <c r="Q114">
        <v>490.41899999999998</v>
      </c>
      <c r="R114">
        <v>867.66499999999996</v>
      </c>
      <c r="S114">
        <v>992.8</v>
      </c>
      <c r="T114">
        <v>980.83799999999997</v>
      </c>
      <c r="U114">
        <v>32.402000000000001</v>
      </c>
      <c r="V114">
        <v>943.11400000000003</v>
      </c>
      <c r="W114">
        <v>1207.1859999999999</v>
      </c>
      <c r="X114">
        <v>2246.3789999999999</v>
      </c>
      <c r="Y114">
        <v>2225.7489999999998</v>
      </c>
      <c r="Z114">
        <v>116.14100000000001</v>
      </c>
      <c r="AA114">
        <v>1923.952</v>
      </c>
      <c r="AB114">
        <v>2527.5450000000001</v>
      </c>
      <c r="AC114">
        <v>3.42</v>
      </c>
      <c r="AD114">
        <v>157.227</v>
      </c>
      <c r="AE114">
        <v>155.126</v>
      </c>
      <c r="AF114">
        <v>7.4009999999999998</v>
      </c>
      <c r="AG114">
        <v>150</v>
      </c>
      <c r="AH114">
        <v>0.9621052631578948</v>
      </c>
      <c r="AI114">
        <v>190.08600000000001</v>
      </c>
      <c r="AJ114">
        <v>1.4210526315789474E-2</v>
      </c>
      <c r="AK114">
        <v>0.58099999999999996</v>
      </c>
      <c r="AL114">
        <v>-26.927</v>
      </c>
      <c r="AM114">
        <v>302.5</v>
      </c>
      <c r="AN114">
        <v>299.745</v>
      </c>
      <c r="AO114">
        <v>9815</v>
      </c>
      <c r="AP114">
        <v>299.745</v>
      </c>
      <c r="AQ114">
        <v>337.21300000000002</v>
      </c>
      <c r="AW114">
        <v>3173.6309999999999</v>
      </c>
      <c r="AX114">
        <v>3184.7919999999999</v>
      </c>
      <c r="AY114">
        <v>122.21299999999999</v>
      </c>
      <c r="AZ114">
        <v>2847.5790000000002</v>
      </c>
      <c r="BA114">
        <v>3447.069</v>
      </c>
      <c r="BB114">
        <v>3.8</v>
      </c>
      <c r="BC114">
        <v>163.459</v>
      </c>
      <c r="BD114">
        <v>162.38800000000001</v>
      </c>
      <c r="BE114">
        <v>5.3140000000000001</v>
      </c>
      <c r="BF114">
        <v>155.90899999999999</v>
      </c>
      <c r="BG114">
        <v>0.99230769230769234</v>
      </c>
      <c r="BH114">
        <v>185.852</v>
      </c>
      <c r="BI114">
        <v>7.6923076923076919E-3</v>
      </c>
      <c r="BJ114">
        <v>0.55500000000000005</v>
      </c>
      <c r="BK114">
        <v>-29.931000000000001</v>
      </c>
      <c r="BL114">
        <v>316.66300000000001</v>
      </c>
      <c r="BM114">
        <v>312.48899999999998</v>
      </c>
      <c r="BN114">
        <v>12.114000000000001</v>
      </c>
      <c r="BO114">
        <v>312.48899999999998</v>
      </c>
      <c r="BP114">
        <v>351.55</v>
      </c>
      <c r="BQ114">
        <v>980.07899999999995</v>
      </c>
      <c r="BR114">
        <v>976.52800000000002</v>
      </c>
      <c r="BS114">
        <v>33.901000000000003</v>
      </c>
      <c r="BT114">
        <v>937.46699999999998</v>
      </c>
      <c r="BU114">
        <v>1093.711</v>
      </c>
      <c r="BV114">
        <v>3019.6329999999998</v>
      </c>
      <c r="BW114">
        <v>3007.7060000000001</v>
      </c>
      <c r="BX114">
        <v>120.53</v>
      </c>
      <c r="BY114">
        <v>2734.2779999999998</v>
      </c>
      <c r="BZ114">
        <v>3320.1950000000002</v>
      </c>
      <c r="CA114">
        <v>3.38</v>
      </c>
    </row>
    <row r="115" spans="1:84" x14ac:dyDescent="0.35">
      <c r="A115" t="s">
        <v>193</v>
      </c>
      <c r="B115" t="str">
        <f t="shared" si="6"/>
        <v xml:space="preserve"> ma_sa_2005_01_31_124</v>
      </c>
      <c r="C115" s="1">
        <f t="shared" si="7"/>
        <v>45753</v>
      </c>
      <c r="D115" t="s">
        <v>78</v>
      </c>
      <c r="E115">
        <v>200.26900000000001</v>
      </c>
      <c r="F115">
        <v>199.48400000000001</v>
      </c>
      <c r="G115">
        <v>4.3899999999999997</v>
      </c>
      <c r="H115">
        <v>191.62</v>
      </c>
      <c r="I115">
        <v>0.22843137254901963</v>
      </c>
      <c r="J115">
        <v>217.24100000000001</v>
      </c>
      <c r="K115">
        <v>0.97549019607843135</v>
      </c>
      <c r="L115">
        <v>0.69</v>
      </c>
      <c r="M115">
        <v>-19.722999999999999</v>
      </c>
      <c r="N115">
        <v>902.66700000000003</v>
      </c>
      <c r="O115">
        <v>916.74</v>
      </c>
      <c r="P115">
        <v>78.974000000000004</v>
      </c>
      <c r="Q115">
        <v>771.99099999999999</v>
      </c>
      <c r="R115">
        <v>1013.239</v>
      </c>
      <c r="S115">
        <v>1237.3969999999999</v>
      </c>
      <c r="T115">
        <v>1230.3610000000001</v>
      </c>
      <c r="U115">
        <v>84.155000000000001</v>
      </c>
      <c r="V115">
        <v>1109.7370000000001</v>
      </c>
      <c r="W115">
        <v>1447.4839999999999</v>
      </c>
      <c r="X115">
        <v>2440.6179999999999</v>
      </c>
      <c r="Y115">
        <v>2412.473</v>
      </c>
      <c r="Z115">
        <v>252.941</v>
      </c>
      <c r="AA115">
        <v>2074.7260000000001</v>
      </c>
      <c r="AB115">
        <v>3039.7159999999999</v>
      </c>
      <c r="AC115">
        <v>1.02</v>
      </c>
      <c r="AD115">
        <v>210.566</v>
      </c>
      <c r="AE115">
        <v>210.93299999999999</v>
      </c>
      <c r="AF115">
        <v>3.07</v>
      </c>
      <c r="AG115">
        <v>204.43700000000001</v>
      </c>
      <c r="AH115">
        <v>0.4511904761904762</v>
      </c>
      <c r="AI115">
        <v>214.97200000000001</v>
      </c>
      <c r="AJ115">
        <v>0.99880952380952381</v>
      </c>
      <c r="AK115">
        <v>0.51400000000000001</v>
      </c>
      <c r="AL115">
        <v>-28.1</v>
      </c>
      <c r="AM115">
        <v>304.976</v>
      </c>
      <c r="AN115">
        <v>307.67399999999998</v>
      </c>
      <c r="AO115">
        <v>20.468</v>
      </c>
      <c r="AP115">
        <v>256.39499999999998</v>
      </c>
      <c r="AQ115">
        <v>358.95299999999997</v>
      </c>
      <c r="AR115">
        <v>2292.9070000000002</v>
      </c>
      <c r="AS115">
        <v>2307.558</v>
      </c>
      <c r="AT115">
        <v>182.37</v>
      </c>
      <c r="AU115">
        <v>1538.3720000000001</v>
      </c>
      <c r="AV115">
        <v>2461.395</v>
      </c>
      <c r="AW115">
        <v>3527.2669999999998</v>
      </c>
      <c r="AX115">
        <v>3589.5349999999999</v>
      </c>
      <c r="AY115">
        <v>180.33600000000001</v>
      </c>
      <c r="AZ115">
        <v>2666.5120000000002</v>
      </c>
      <c r="BA115">
        <v>3692.0929999999998</v>
      </c>
      <c r="BB115">
        <v>0.84</v>
      </c>
      <c r="BC115">
        <v>208.37100000000001</v>
      </c>
      <c r="BD115">
        <v>206.90299999999999</v>
      </c>
      <c r="BE115">
        <v>6.6950000000000003</v>
      </c>
      <c r="BF115">
        <v>188.80699999999999</v>
      </c>
      <c r="BG115">
        <v>0</v>
      </c>
      <c r="BH115">
        <v>222.08600000000001</v>
      </c>
      <c r="BI115">
        <v>8.2653061224489802E-2</v>
      </c>
      <c r="BJ115">
        <v>0.92800000000000005</v>
      </c>
      <c r="BK115">
        <v>-29.097999999999999</v>
      </c>
      <c r="BL115">
        <v>392.40499999999997</v>
      </c>
      <c r="BM115">
        <v>401.822</v>
      </c>
      <c r="BN115">
        <v>48.216999999999999</v>
      </c>
      <c r="BO115">
        <v>301.36700000000002</v>
      </c>
      <c r="BP115">
        <v>552.50599999999997</v>
      </c>
      <c r="BQ115">
        <v>1142.682</v>
      </c>
      <c r="BR115">
        <v>1130.125</v>
      </c>
      <c r="BS115">
        <v>74.741</v>
      </c>
      <c r="BT115">
        <v>1054.7840000000001</v>
      </c>
      <c r="BU115">
        <v>1255.6949999999999</v>
      </c>
      <c r="BV115">
        <v>3329.6840000000002</v>
      </c>
      <c r="BW115">
        <v>3365.2620000000002</v>
      </c>
      <c r="BX115">
        <v>135.869</v>
      </c>
      <c r="BY115">
        <v>2862.9839999999999</v>
      </c>
      <c r="BZ115">
        <v>3616.4009999999998</v>
      </c>
      <c r="CA115">
        <v>0.98</v>
      </c>
      <c r="CB115">
        <v>2</v>
      </c>
      <c r="CC115">
        <v>1</v>
      </c>
      <c r="CD115">
        <v>0</v>
      </c>
      <c r="CE115">
        <v>2</v>
      </c>
      <c r="CF115">
        <v>0</v>
      </c>
    </row>
    <row r="116" spans="1:84" x14ac:dyDescent="0.35">
      <c r="A116" t="s">
        <v>170</v>
      </c>
      <c r="B116" t="str">
        <f t="shared" si="6"/>
        <v xml:space="preserve"> ma_si_2003_10_31_940</v>
      </c>
      <c r="C116" s="1">
        <f t="shared" si="7"/>
        <v>45752</v>
      </c>
      <c r="D116" t="s">
        <v>78</v>
      </c>
      <c r="E116">
        <v>156.31200000000001</v>
      </c>
      <c r="F116">
        <v>155.87</v>
      </c>
      <c r="G116">
        <v>5.19</v>
      </c>
      <c r="H116">
        <v>146.23400000000001</v>
      </c>
      <c r="I116">
        <v>1.1538461538461539E-2</v>
      </c>
      <c r="J116">
        <v>196.249</v>
      </c>
      <c r="K116">
        <v>0</v>
      </c>
      <c r="L116">
        <v>0.85899999999999999</v>
      </c>
      <c r="M116">
        <v>-23.228000000000002</v>
      </c>
      <c r="N116">
        <v>783.52700000000004</v>
      </c>
      <c r="O116">
        <v>784.83100000000002</v>
      </c>
      <c r="P116">
        <v>46.731000000000002</v>
      </c>
      <c r="Q116">
        <v>560.59299999999996</v>
      </c>
      <c r="R116">
        <v>896.94899999999996</v>
      </c>
      <c r="S116">
        <v>1129.846</v>
      </c>
      <c r="T116">
        <v>1121.1859999999999</v>
      </c>
      <c r="U116">
        <v>60.262</v>
      </c>
      <c r="V116">
        <v>1046.441</v>
      </c>
      <c r="W116">
        <v>1494.915</v>
      </c>
      <c r="X116">
        <v>3118.4630000000002</v>
      </c>
      <c r="Y116">
        <v>3101.9490000000001</v>
      </c>
      <c r="Z116">
        <v>170.215</v>
      </c>
      <c r="AA116">
        <v>2503.9830000000002</v>
      </c>
      <c r="AB116">
        <v>3886.78</v>
      </c>
      <c r="AC116">
        <v>2.34</v>
      </c>
      <c r="AD116">
        <v>165.684</v>
      </c>
      <c r="AE116">
        <v>160.53</v>
      </c>
      <c r="AF116">
        <v>25.317</v>
      </c>
      <c r="AG116">
        <v>155.36000000000001</v>
      </c>
      <c r="AH116">
        <v>0.61523809523809525</v>
      </c>
      <c r="AI116">
        <v>312.76600000000002</v>
      </c>
      <c r="AJ116">
        <v>0</v>
      </c>
      <c r="AK116">
        <v>1.1299999999999999</v>
      </c>
      <c r="AL116">
        <v>-26.893000000000001</v>
      </c>
      <c r="AM116">
        <v>318.12299999999999</v>
      </c>
      <c r="AN116">
        <v>313.60000000000002</v>
      </c>
      <c r="AO116">
        <v>14.839</v>
      </c>
      <c r="AP116">
        <v>313.60000000000002</v>
      </c>
      <c r="AQ116">
        <v>392</v>
      </c>
      <c r="AR116">
        <v>2299.7330000000002</v>
      </c>
      <c r="AS116">
        <v>2391.1999999999998</v>
      </c>
      <c r="AT116">
        <v>193.369</v>
      </c>
      <c r="AU116">
        <v>2077.6</v>
      </c>
      <c r="AV116">
        <v>2430.4</v>
      </c>
      <c r="AW116">
        <v>3639.3090000000002</v>
      </c>
      <c r="AX116">
        <v>3645.6</v>
      </c>
      <c r="AY116">
        <v>168.316</v>
      </c>
      <c r="AZ116">
        <v>2979.2</v>
      </c>
      <c r="BA116">
        <v>3880.8</v>
      </c>
      <c r="BB116">
        <v>2.1</v>
      </c>
      <c r="BC116">
        <v>143.78899999999999</v>
      </c>
      <c r="BD116">
        <v>143.11500000000001</v>
      </c>
      <c r="BE116">
        <v>4.9169999999999998</v>
      </c>
      <c r="BF116">
        <v>118.367</v>
      </c>
      <c r="BG116">
        <v>0</v>
      </c>
      <c r="BH116">
        <v>152.14400000000001</v>
      </c>
      <c r="BI116">
        <v>1.7045454545454544E-2</v>
      </c>
      <c r="BJ116">
        <v>1.0449999999999999</v>
      </c>
      <c r="BK116">
        <v>-27.914999999999999</v>
      </c>
      <c r="BL116">
        <v>353.27</v>
      </c>
      <c r="BM116">
        <v>340.01499999999999</v>
      </c>
      <c r="BN116">
        <v>28.248999999999999</v>
      </c>
      <c r="BO116">
        <v>306.01400000000001</v>
      </c>
      <c r="BP116">
        <v>408.01900000000001</v>
      </c>
      <c r="BQ116">
        <v>1333.095</v>
      </c>
      <c r="BR116">
        <v>1326.06</v>
      </c>
      <c r="BS116">
        <v>118.964</v>
      </c>
      <c r="BT116">
        <v>1156.0519999999999</v>
      </c>
      <c r="BU116">
        <v>1700.077</v>
      </c>
      <c r="BV116">
        <v>3040.5450000000001</v>
      </c>
      <c r="BW116">
        <v>3026.1370000000002</v>
      </c>
      <c r="BX116">
        <v>115.943</v>
      </c>
      <c r="BY116">
        <v>2822.1280000000002</v>
      </c>
      <c r="BZ116">
        <v>3366.1529999999998</v>
      </c>
      <c r="CA116">
        <v>1.76</v>
      </c>
    </row>
    <row r="117" spans="1:84" x14ac:dyDescent="0.35">
      <c r="A117" t="s">
        <v>108</v>
      </c>
      <c r="B117" t="str">
        <f t="shared" si="6"/>
        <v xml:space="preserve"> ma_ta_2006_01_28_997</v>
      </c>
      <c r="C117" s="1">
        <f t="shared" si="7"/>
        <v>45749</v>
      </c>
      <c r="D117" t="s">
        <v>78</v>
      </c>
      <c r="E117">
        <v>137.05600000000001</v>
      </c>
      <c r="F117">
        <v>137.078</v>
      </c>
      <c r="G117">
        <v>2.3290000000000002</v>
      </c>
      <c r="H117">
        <v>132.83099999999999</v>
      </c>
      <c r="I117">
        <v>0.12704081632653061</v>
      </c>
      <c r="J117">
        <v>150.65899999999999</v>
      </c>
      <c r="K117">
        <v>0</v>
      </c>
      <c r="L117">
        <v>0.57699999999999996</v>
      </c>
      <c r="M117">
        <v>-16.925999999999998</v>
      </c>
      <c r="N117">
        <v>704.14499999999998</v>
      </c>
      <c r="O117">
        <v>685.49199999999996</v>
      </c>
      <c r="P117">
        <v>33.533000000000001</v>
      </c>
      <c r="Q117">
        <v>652.85</v>
      </c>
      <c r="R117">
        <v>783.42</v>
      </c>
      <c r="S117">
        <v>1100.3679999999999</v>
      </c>
      <c r="T117">
        <v>1109.845</v>
      </c>
      <c r="U117">
        <v>35.654000000000003</v>
      </c>
      <c r="V117">
        <v>1011.917</v>
      </c>
      <c r="W117">
        <v>1175.1300000000001</v>
      </c>
      <c r="X117">
        <v>3161.14</v>
      </c>
      <c r="Y117">
        <v>3166.3209999999999</v>
      </c>
      <c r="Z117">
        <v>446.464</v>
      </c>
      <c r="AA117">
        <v>2415.5439999999999</v>
      </c>
      <c r="AB117">
        <v>4178.2380000000003</v>
      </c>
      <c r="AC117">
        <v>1.96</v>
      </c>
      <c r="AD117">
        <v>149.76</v>
      </c>
      <c r="AE117">
        <v>145.95699999999999</v>
      </c>
      <c r="AF117">
        <v>20.297999999999998</v>
      </c>
      <c r="AG117">
        <v>142.58699999999999</v>
      </c>
      <c r="AH117">
        <v>0.23080357142857141</v>
      </c>
      <c r="AI117">
        <v>263.17099999999999</v>
      </c>
      <c r="AJ117">
        <v>1.2053571428571427E-2</v>
      </c>
      <c r="AK117">
        <v>1.008</v>
      </c>
      <c r="AL117">
        <v>-28.198</v>
      </c>
      <c r="AM117">
        <v>298.17500000000001</v>
      </c>
      <c r="AN117">
        <v>297.72199999999998</v>
      </c>
      <c r="AO117">
        <v>18.018000000000001</v>
      </c>
      <c r="AP117">
        <v>260.50599999999997</v>
      </c>
      <c r="AQ117">
        <v>446.58199999999999</v>
      </c>
      <c r="AR117">
        <v>2332.7159999999999</v>
      </c>
      <c r="AS117">
        <v>2344.5569999999998</v>
      </c>
      <c r="AT117">
        <v>130.351</v>
      </c>
      <c r="AU117">
        <v>2009.62</v>
      </c>
      <c r="AV117">
        <v>2567.848</v>
      </c>
      <c r="AW117">
        <v>3151.491</v>
      </c>
      <c r="AX117">
        <v>3126.076</v>
      </c>
      <c r="AY117">
        <v>122.926</v>
      </c>
      <c r="AZ117">
        <v>2977.2150000000001</v>
      </c>
      <c r="BA117">
        <v>3721.5189999999998</v>
      </c>
      <c r="BB117">
        <v>2.2400000000000002</v>
      </c>
      <c r="BC117">
        <v>161.26300000000001</v>
      </c>
      <c r="BD117">
        <v>151.249</v>
      </c>
      <c r="BE117">
        <v>41.917999999999999</v>
      </c>
      <c r="BF117">
        <v>138.679</v>
      </c>
      <c r="BG117">
        <v>5.8771929824561413E-2</v>
      </c>
      <c r="BH117">
        <v>341.86</v>
      </c>
      <c r="BI117">
        <v>0</v>
      </c>
      <c r="BJ117">
        <v>1.9990000000000001</v>
      </c>
      <c r="BK117">
        <v>-21.571000000000002</v>
      </c>
      <c r="BL117">
        <v>430.048</v>
      </c>
      <c r="BM117">
        <v>417.11099999999999</v>
      </c>
      <c r="BN117">
        <v>56.593000000000004</v>
      </c>
      <c r="BO117">
        <v>341.27300000000002</v>
      </c>
      <c r="BP117">
        <v>644.62599999999998</v>
      </c>
      <c r="BQ117">
        <v>1019.878</v>
      </c>
      <c r="BR117">
        <v>1023.818</v>
      </c>
      <c r="BS117">
        <v>21.821000000000002</v>
      </c>
      <c r="BT117">
        <v>985.899</v>
      </c>
      <c r="BU117">
        <v>1137.575</v>
      </c>
      <c r="BV117">
        <v>3288.2620000000002</v>
      </c>
      <c r="BW117">
        <v>3298.9679999999998</v>
      </c>
      <c r="BX117">
        <v>127.065</v>
      </c>
      <c r="BY117">
        <v>2806.0189999999998</v>
      </c>
      <c r="BZ117">
        <v>3564.402</v>
      </c>
      <c r="CA117">
        <v>2.2799999999999998</v>
      </c>
      <c r="CB117">
        <v>4</v>
      </c>
      <c r="CC117">
        <v>4</v>
      </c>
      <c r="CD117">
        <v>1</v>
      </c>
      <c r="CE117">
        <v>4</v>
      </c>
      <c r="CF117">
        <v>1</v>
      </c>
    </row>
    <row r="118" spans="1:84" x14ac:dyDescent="0.35">
      <c r="A118" t="s">
        <v>93</v>
      </c>
      <c r="B118" t="str">
        <f t="shared" si="6"/>
        <v xml:space="preserve"> ma_ti_2006_01_05_815</v>
      </c>
      <c r="C118" s="1">
        <f t="shared" si="7"/>
        <v>45748</v>
      </c>
      <c r="D118" t="s">
        <v>78</v>
      </c>
      <c r="E118">
        <v>236.786</v>
      </c>
      <c r="F118">
        <v>237.279</v>
      </c>
      <c r="G118">
        <v>4.1020000000000003</v>
      </c>
      <c r="H118">
        <v>219.09200000000001</v>
      </c>
      <c r="I118">
        <v>8.4951456310679626E-3</v>
      </c>
      <c r="J118">
        <v>246.369</v>
      </c>
      <c r="K118">
        <v>0.9939320388349514</v>
      </c>
      <c r="L118">
        <v>0.42</v>
      </c>
      <c r="M118">
        <v>-32.097999999999999</v>
      </c>
      <c r="N118">
        <v>396.572</v>
      </c>
      <c r="O118">
        <v>403.529</v>
      </c>
      <c r="P118">
        <v>65.102999999999994</v>
      </c>
      <c r="Q118">
        <v>230.58799999999999</v>
      </c>
      <c r="R118">
        <v>518.82399999999996</v>
      </c>
      <c r="S118">
        <v>1204.482</v>
      </c>
      <c r="T118">
        <v>1210.588</v>
      </c>
      <c r="U118">
        <v>73.146000000000001</v>
      </c>
      <c r="V118">
        <v>1095.2940000000001</v>
      </c>
      <c r="W118">
        <v>1383.529</v>
      </c>
      <c r="X118">
        <v>3035.5079999999998</v>
      </c>
      <c r="Y118">
        <v>2997.6469999999999</v>
      </c>
      <c r="Z118">
        <v>153.26900000000001</v>
      </c>
      <c r="AA118">
        <v>2709.4119999999998</v>
      </c>
      <c r="AB118">
        <v>3516.471</v>
      </c>
      <c r="AC118">
        <v>4.12</v>
      </c>
      <c r="AD118">
        <v>240.02799999999999</v>
      </c>
      <c r="AE118">
        <v>241.172</v>
      </c>
      <c r="AF118">
        <v>5.4109999999999996</v>
      </c>
      <c r="AG118">
        <v>211.583</v>
      </c>
      <c r="AH118">
        <v>1.7391304347826087E-2</v>
      </c>
      <c r="AI118">
        <v>249.35400000000001</v>
      </c>
      <c r="AJ118">
        <v>0.82391304347826089</v>
      </c>
      <c r="AK118">
        <v>0.39</v>
      </c>
      <c r="AL118">
        <v>-33.412999999999997</v>
      </c>
      <c r="AM118">
        <v>267.15699999999998</v>
      </c>
      <c r="AN118">
        <v>291.66699999999997</v>
      </c>
      <c r="AO118">
        <v>31.699000000000002</v>
      </c>
      <c r="AP118">
        <v>233.333</v>
      </c>
      <c r="AQ118">
        <v>350</v>
      </c>
      <c r="AR118">
        <v>2165.625</v>
      </c>
      <c r="AS118">
        <v>2275</v>
      </c>
      <c r="AT118">
        <v>286.517</v>
      </c>
      <c r="AU118">
        <v>1458.3330000000001</v>
      </c>
      <c r="AV118">
        <v>2275</v>
      </c>
      <c r="AW118">
        <v>3137.1179999999999</v>
      </c>
      <c r="AX118">
        <v>3150</v>
      </c>
      <c r="AY118">
        <v>103.974</v>
      </c>
      <c r="AZ118">
        <v>2741.6669999999999</v>
      </c>
      <c r="BA118">
        <v>3558.3330000000001</v>
      </c>
      <c r="BB118">
        <v>4.1399999999999997</v>
      </c>
      <c r="BC118">
        <v>238.059</v>
      </c>
      <c r="BD118">
        <v>238.56299999999999</v>
      </c>
      <c r="BE118">
        <v>2.4470000000000001</v>
      </c>
      <c r="BF118">
        <v>228.16</v>
      </c>
      <c r="BG118">
        <v>9.3908629441624356E-3</v>
      </c>
      <c r="BH118">
        <v>243.071</v>
      </c>
      <c r="BI118">
        <v>0.52436548223350254</v>
      </c>
      <c r="BJ118">
        <v>0.30399999999999999</v>
      </c>
      <c r="BK118">
        <v>-33.061999999999998</v>
      </c>
      <c r="BL118">
        <v>295.411</v>
      </c>
      <c r="BM118">
        <v>289.75</v>
      </c>
      <c r="BN118">
        <v>19.786999999999999</v>
      </c>
      <c r="BO118">
        <v>231.8</v>
      </c>
      <c r="BP118">
        <v>347.7</v>
      </c>
      <c r="BQ118">
        <v>1150.723</v>
      </c>
      <c r="BR118">
        <v>1159.001</v>
      </c>
      <c r="BS118">
        <v>64.231999999999999</v>
      </c>
      <c r="BT118">
        <v>1043.1010000000001</v>
      </c>
      <c r="BU118">
        <v>1332.8520000000001</v>
      </c>
      <c r="BV118">
        <v>2951.8789999999999</v>
      </c>
      <c r="BW118">
        <v>2955.453</v>
      </c>
      <c r="BX118">
        <v>111.265</v>
      </c>
      <c r="BY118">
        <v>2665.703</v>
      </c>
      <c r="BZ118">
        <v>3419.0540000000001</v>
      </c>
      <c r="CA118">
        <v>3.94</v>
      </c>
      <c r="CB118">
        <v>5</v>
      </c>
      <c r="CC118">
        <v>8</v>
      </c>
      <c r="CD118">
        <v>0</v>
      </c>
      <c r="CE118">
        <v>6</v>
      </c>
      <c r="CF118">
        <v>6</v>
      </c>
    </row>
    <row r="119" spans="1:84" x14ac:dyDescent="0.35">
      <c r="A119" t="s">
        <v>146</v>
      </c>
      <c r="B119" t="str">
        <f t="shared" si="6"/>
        <v xml:space="preserve"> ma_va_2005_03_05_742</v>
      </c>
      <c r="C119" s="1">
        <f t="shared" si="7"/>
        <v>45751</v>
      </c>
      <c r="D119" t="s">
        <v>78</v>
      </c>
      <c r="E119">
        <v>190.88499999999999</v>
      </c>
      <c r="F119">
        <v>185.74</v>
      </c>
      <c r="G119">
        <v>12.704000000000001</v>
      </c>
      <c r="H119">
        <v>179.16399999999999</v>
      </c>
      <c r="I119">
        <v>0.18697478991596639</v>
      </c>
      <c r="J119">
        <v>231.93100000000001</v>
      </c>
      <c r="K119">
        <v>3.7394957983193276E-2</v>
      </c>
      <c r="L119">
        <v>0.627</v>
      </c>
      <c r="M119">
        <v>-25.056000000000001</v>
      </c>
      <c r="N119">
        <v>686.49199999999996</v>
      </c>
      <c r="O119">
        <v>680.55600000000004</v>
      </c>
      <c r="P119">
        <v>60.77</v>
      </c>
      <c r="Q119">
        <v>589.81500000000005</v>
      </c>
      <c r="R119">
        <v>862.03700000000003</v>
      </c>
      <c r="S119">
        <v>1205.9880000000001</v>
      </c>
      <c r="T119">
        <v>1225</v>
      </c>
      <c r="U119">
        <v>47.41</v>
      </c>
      <c r="V119">
        <v>1088.8889999999999</v>
      </c>
      <c r="W119">
        <v>1315.741</v>
      </c>
      <c r="X119">
        <v>2706.1089999999999</v>
      </c>
      <c r="Y119">
        <v>2631.4810000000002</v>
      </c>
      <c r="Z119">
        <v>237.16800000000001</v>
      </c>
      <c r="AA119">
        <v>2404.63</v>
      </c>
      <c r="AB119">
        <v>3448.1480000000001</v>
      </c>
      <c r="AC119">
        <v>2.38</v>
      </c>
      <c r="AD119">
        <v>191.95099999999999</v>
      </c>
      <c r="AE119">
        <v>188.69200000000001</v>
      </c>
      <c r="AF119">
        <v>11.695</v>
      </c>
      <c r="AG119">
        <v>154.892</v>
      </c>
      <c r="AH119">
        <v>0</v>
      </c>
      <c r="AI119">
        <v>226.32</v>
      </c>
      <c r="AJ119">
        <v>3.938053097345133E-2</v>
      </c>
      <c r="AK119">
        <v>0.91900000000000004</v>
      </c>
      <c r="AL119">
        <v>-27.494</v>
      </c>
      <c r="AM119">
        <v>365.24900000000002</v>
      </c>
      <c r="AN119">
        <v>363.33699999999999</v>
      </c>
      <c r="AO119">
        <v>11.311999999999999</v>
      </c>
      <c r="AP119">
        <v>363.33699999999999</v>
      </c>
      <c r="AQ119">
        <v>454.17099999999999</v>
      </c>
      <c r="AR119">
        <v>2391.9670000000001</v>
      </c>
      <c r="AS119">
        <v>2452.5230000000001</v>
      </c>
      <c r="AT119">
        <v>104.886</v>
      </c>
      <c r="AU119">
        <v>2270.855</v>
      </c>
      <c r="AV119">
        <v>2452.5230000000001</v>
      </c>
      <c r="AW119">
        <v>3608.636</v>
      </c>
      <c r="AX119">
        <v>3587.951</v>
      </c>
      <c r="AY119">
        <v>300.68200000000002</v>
      </c>
      <c r="AZ119">
        <v>3133.78</v>
      </c>
      <c r="BA119">
        <v>5041.2979999999998</v>
      </c>
      <c r="BB119">
        <v>2.2599999999999998</v>
      </c>
      <c r="BC119">
        <v>194.089</v>
      </c>
      <c r="BD119">
        <v>186.30099999999999</v>
      </c>
      <c r="BE119">
        <v>19.166</v>
      </c>
      <c r="BF119">
        <v>181.375</v>
      </c>
      <c r="BG119">
        <v>0.98937644341801378</v>
      </c>
      <c r="BH119">
        <v>248.15100000000001</v>
      </c>
      <c r="BI119">
        <v>4.8960739030023091E-2</v>
      </c>
      <c r="BJ119">
        <v>0.55600000000000005</v>
      </c>
      <c r="BK119">
        <v>-27.446999999999999</v>
      </c>
      <c r="BL119">
        <v>388.51900000000001</v>
      </c>
      <c r="BM119">
        <v>365.21699999999998</v>
      </c>
      <c r="BN119">
        <v>36.877000000000002</v>
      </c>
      <c r="BO119">
        <v>365.21699999999998</v>
      </c>
      <c r="BP119">
        <v>547.82600000000002</v>
      </c>
      <c r="BQ119">
        <v>1023.75</v>
      </c>
      <c r="BR119">
        <v>1004.348</v>
      </c>
      <c r="BS119">
        <v>46.103999999999999</v>
      </c>
      <c r="BT119">
        <v>958.69600000000003</v>
      </c>
      <c r="BU119">
        <v>1186.9570000000001</v>
      </c>
      <c r="BV119">
        <v>3388.6149999999998</v>
      </c>
      <c r="BW119">
        <v>3378.261</v>
      </c>
      <c r="BX119">
        <v>170.49700000000001</v>
      </c>
      <c r="BY119">
        <v>3013.0430000000001</v>
      </c>
      <c r="BZ119">
        <v>3880.4349999999999</v>
      </c>
      <c r="CA119">
        <v>2.165</v>
      </c>
    </row>
    <row r="120" spans="1:84" x14ac:dyDescent="0.35">
      <c r="A120" t="s">
        <v>128</v>
      </c>
      <c r="B120" t="str">
        <f t="shared" si="6"/>
        <v xml:space="preserve"> ma_za_2004_06_10_668</v>
      </c>
      <c r="C120" s="1">
        <f t="shared" si="7"/>
        <v>45750</v>
      </c>
      <c r="D120" t="s">
        <v>78</v>
      </c>
      <c r="E120">
        <v>199.71199999999999</v>
      </c>
      <c r="F120">
        <v>199.41900000000001</v>
      </c>
      <c r="G120">
        <v>2.8839999999999999</v>
      </c>
      <c r="H120">
        <v>195.13300000000001</v>
      </c>
      <c r="I120">
        <v>6.7886178861788618E-2</v>
      </c>
      <c r="J120">
        <v>215.72300000000001</v>
      </c>
      <c r="K120">
        <v>0.99878048780487805</v>
      </c>
      <c r="L120">
        <v>0.41</v>
      </c>
      <c r="M120">
        <v>-28.329000000000001</v>
      </c>
      <c r="N120">
        <v>458.77199999999999</v>
      </c>
      <c r="O120">
        <v>479.86900000000003</v>
      </c>
      <c r="P120">
        <v>46.195999999999998</v>
      </c>
      <c r="Q120">
        <v>383.89600000000002</v>
      </c>
      <c r="R120">
        <v>671.81700000000001</v>
      </c>
      <c r="S120">
        <v>1271.412</v>
      </c>
      <c r="T120">
        <v>1247.6610000000001</v>
      </c>
      <c r="U120">
        <v>99.194000000000003</v>
      </c>
      <c r="V120">
        <v>1055.713</v>
      </c>
      <c r="W120">
        <v>1535.5820000000001</v>
      </c>
      <c r="X120">
        <v>3357.4450000000002</v>
      </c>
      <c r="Y120">
        <v>3359.0859999999998</v>
      </c>
      <c r="Z120">
        <v>168.595</v>
      </c>
      <c r="AA120">
        <v>3071.1640000000002</v>
      </c>
      <c r="AB120">
        <v>3838.9549999999999</v>
      </c>
      <c r="AC120">
        <v>2.46</v>
      </c>
      <c r="AD120">
        <v>203.46199999999999</v>
      </c>
      <c r="AE120">
        <v>203.226</v>
      </c>
      <c r="AF120">
        <v>2.089</v>
      </c>
      <c r="AG120">
        <v>200.19499999999999</v>
      </c>
      <c r="AH120">
        <v>6.0457516339869281E-2</v>
      </c>
      <c r="AI120">
        <v>217.70099999999999</v>
      </c>
      <c r="AJ120">
        <v>6.8627450980392156E-3</v>
      </c>
      <c r="AK120">
        <v>0.28899999999999998</v>
      </c>
      <c r="AL120">
        <v>-31.151</v>
      </c>
      <c r="AM120">
        <v>353.53300000000002</v>
      </c>
      <c r="AN120">
        <v>342.61900000000003</v>
      </c>
      <c r="AO120">
        <v>22.707999999999998</v>
      </c>
      <c r="AP120">
        <v>293.67399999999998</v>
      </c>
      <c r="AQ120">
        <v>440.51100000000002</v>
      </c>
      <c r="AR120">
        <v>2463.596</v>
      </c>
      <c r="AS120">
        <v>2496.2260000000001</v>
      </c>
      <c r="AT120">
        <v>85.129000000000005</v>
      </c>
      <c r="AU120">
        <v>2251.498</v>
      </c>
      <c r="AV120">
        <v>2594.1179999999999</v>
      </c>
      <c r="AW120">
        <v>3731.7730000000001</v>
      </c>
      <c r="AX120">
        <v>3719.8670000000002</v>
      </c>
      <c r="AY120">
        <v>191.202</v>
      </c>
      <c r="AZ120">
        <v>3328.3020000000001</v>
      </c>
      <c r="BA120">
        <v>4405.1049999999996</v>
      </c>
      <c r="BB120">
        <v>3.06</v>
      </c>
      <c r="BC120">
        <v>208.15199999999999</v>
      </c>
      <c r="BD120">
        <v>207.87899999999999</v>
      </c>
      <c r="BE120">
        <v>3.3370000000000002</v>
      </c>
      <c r="BF120">
        <v>203.89699999999999</v>
      </c>
      <c r="BG120">
        <v>5.7786885245901635E-2</v>
      </c>
      <c r="BH120">
        <v>232.45500000000001</v>
      </c>
      <c r="BI120">
        <v>8.1967213114754103E-3</v>
      </c>
      <c r="BJ120">
        <v>0.36899999999999999</v>
      </c>
      <c r="BK120">
        <v>-30.786999999999999</v>
      </c>
      <c r="BL120">
        <v>398.38600000000002</v>
      </c>
      <c r="BM120">
        <v>400.45400000000001</v>
      </c>
      <c r="BN120">
        <v>15.012</v>
      </c>
      <c r="BO120">
        <v>350.39699999999999</v>
      </c>
      <c r="BP120">
        <v>500.56799999999998</v>
      </c>
      <c r="BQ120">
        <v>1201.3620000000001</v>
      </c>
      <c r="BR120">
        <v>1201.3620000000001</v>
      </c>
      <c r="BS120">
        <v>141.58199999999999</v>
      </c>
      <c r="BT120">
        <v>1101.249</v>
      </c>
      <c r="BU120">
        <v>1301.4760000000001</v>
      </c>
      <c r="BV120">
        <v>3858.0929999999998</v>
      </c>
      <c r="BW120">
        <v>3854.37</v>
      </c>
      <c r="BX120">
        <v>208.52</v>
      </c>
      <c r="BY120">
        <v>3303.7460000000001</v>
      </c>
      <c r="BZ120">
        <v>4254.8239999999996</v>
      </c>
      <c r="CA120">
        <v>2.44</v>
      </c>
      <c r="CB120">
        <v>7</v>
      </c>
      <c r="CC120">
        <v>1</v>
      </c>
      <c r="CD120">
        <v>0</v>
      </c>
      <c r="CE120">
        <v>2</v>
      </c>
      <c r="CF120">
        <v>0</v>
      </c>
    </row>
    <row r="121" spans="1:84" x14ac:dyDescent="0.35">
      <c r="A121" t="s">
        <v>216</v>
      </c>
      <c r="B121" t="str">
        <f t="shared" si="6"/>
        <v xml:space="preserve"> ni_ru_2004_05_20_372</v>
      </c>
      <c r="C121" s="1">
        <f t="shared" si="7"/>
        <v>45747</v>
      </c>
      <c r="D121" t="s">
        <v>78</v>
      </c>
      <c r="E121">
        <v>220.75299999999999</v>
      </c>
      <c r="F121">
        <v>220.34299999999999</v>
      </c>
      <c r="G121">
        <v>3.2490000000000001</v>
      </c>
      <c r="H121">
        <v>214.673</v>
      </c>
      <c r="I121">
        <v>0.22279411764705881</v>
      </c>
      <c r="J121">
        <v>232.63</v>
      </c>
      <c r="K121">
        <v>0.97499999999999998</v>
      </c>
      <c r="L121">
        <v>0.41899999999999998</v>
      </c>
      <c r="M121">
        <v>-19.984000000000002</v>
      </c>
      <c r="N121">
        <v>893.24699999999996</v>
      </c>
      <c r="O121">
        <v>909.83</v>
      </c>
      <c r="P121">
        <v>96.415999999999997</v>
      </c>
      <c r="Q121">
        <v>481.67500000000001</v>
      </c>
      <c r="R121">
        <v>1070.3879999999999</v>
      </c>
      <c r="S121">
        <v>1254.3140000000001</v>
      </c>
      <c r="T121">
        <v>1284.4659999999999</v>
      </c>
      <c r="U121">
        <v>41.191000000000003</v>
      </c>
      <c r="V121">
        <v>1177.4269999999999</v>
      </c>
      <c r="W121">
        <v>1337.9849999999999</v>
      </c>
      <c r="X121">
        <v>3122.2170000000001</v>
      </c>
      <c r="Y121">
        <v>3104.1260000000002</v>
      </c>
      <c r="Z121">
        <v>213.876</v>
      </c>
      <c r="AA121">
        <v>2729.49</v>
      </c>
      <c r="AB121">
        <v>3585.8009999999999</v>
      </c>
      <c r="AC121">
        <v>1.36</v>
      </c>
      <c r="AD121">
        <v>221.68199999999999</v>
      </c>
      <c r="AE121">
        <v>221.44900000000001</v>
      </c>
      <c r="AF121">
        <v>2.992</v>
      </c>
      <c r="AG121">
        <v>215.72300000000001</v>
      </c>
      <c r="AH121">
        <v>4.3846153846153847E-2</v>
      </c>
      <c r="AI121">
        <v>233.864</v>
      </c>
      <c r="AJ121">
        <v>0</v>
      </c>
      <c r="AK121">
        <v>0.47299999999999998</v>
      </c>
      <c r="AL121">
        <v>-30.713999999999999</v>
      </c>
      <c r="AM121">
        <v>381.95299999999997</v>
      </c>
      <c r="AN121">
        <v>375.54700000000003</v>
      </c>
      <c r="AO121">
        <v>23.850999999999999</v>
      </c>
      <c r="AP121">
        <v>268.24799999999999</v>
      </c>
      <c r="AQ121">
        <v>429.197</v>
      </c>
      <c r="AR121">
        <v>1502.19</v>
      </c>
      <c r="AS121">
        <v>1502.19</v>
      </c>
      <c r="AT121">
        <v>0</v>
      </c>
      <c r="AU121">
        <v>1502.19</v>
      </c>
      <c r="AV121">
        <v>1502.19</v>
      </c>
      <c r="AW121">
        <v>3664.7429999999999</v>
      </c>
      <c r="AX121">
        <v>3701.8249999999998</v>
      </c>
      <c r="AY121">
        <v>193.38300000000001</v>
      </c>
      <c r="AZ121">
        <v>3272.6280000000002</v>
      </c>
      <c r="BA121">
        <v>4131.0219999999999</v>
      </c>
      <c r="BB121">
        <v>1.3</v>
      </c>
      <c r="BC121">
        <v>223.608</v>
      </c>
      <c r="BD121">
        <v>223.696</v>
      </c>
      <c r="BE121">
        <v>1.9890000000000001</v>
      </c>
      <c r="BF121">
        <v>220.97399999999999</v>
      </c>
      <c r="BG121">
        <v>0.41956521739130437</v>
      </c>
      <c r="BH121">
        <v>236.19</v>
      </c>
      <c r="BI121">
        <v>0</v>
      </c>
      <c r="BJ121">
        <v>0.36599999999999999</v>
      </c>
      <c r="BK121">
        <v>-32.689</v>
      </c>
      <c r="BL121">
        <v>378.06099999999998</v>
      </c>
      <c r="BM121">
        <v>379.70499999999998</v>
      </c>
      <c r="BN121">
        <v>13.353999999999999</v>
      </c>
      <c r="BO121">
        <v>271.21800000000002</v>
      </c>
      <c r="BP121">
        <v>379.70499999999998</v>
      </c>
      <c r="BQ121">
        <v>1048.7080000000001</v>
      </c>
      <c r="BR121">
        <v>1030.627</v>
      </c>
      <c r="BS121">
        <v>31.318000000000001</v>
      </c>
      <c r="BT121">
        <v>1030.627</v>
      </c>
      <c r="BU121">
        <v>1084.8710000000001</v>
      </c>
      <c r="BV121">
        <v>3750.9780000000001</v>
      </c>
      <c r="BW121">
        <v>3742.8040000000001</v>
      </c>
      <c r="BX121">
        <v>207.08099999999999</v>
      </c>
      <c r="BY121">
        <v>3200.3690000000001</v>
      </c>
      <c r="BZ121">
        <v>4556.4579999999996</v>
      </c>
      <c r="CA121">
        <v>1.38</v>
      </c>
      <c r="CB121">
        <v>6</v>
      </c>
      <c r="CC121">
        <v>2</v>
      </c>
      <c r="CD121">
        <v>0</v>
      </c>
      <c r="CE121">
        <v>3</v>
      </c>
      <c r="CF121">
        <v>0</v>
      </c>
    </row>
    <row r="122" spans="1:84" x14ac:dyDescent="0.35">
      <c r="A122" t="s">
        <v>129</v>
      </c>
      <c r="B122" t="str">
        <f t="shared" si="6"/>
        <v xml:space="preserve"> no_bi_2001_04_24_039</v>
      </c>
      <c r="C122" s="1">
        <f t="shared" si="7"/>
        <v>45750</v>
      </c>
      <c r="D122" t="s">
        <v>78</v>
      </c>
      <c r="E122">
        <v>191.32900000000001</v>
      </c>
      <c r="F122">
        <v>192.09800000000001</v>
      </c>
      <c r="G122">
        <v>7.4909999999999997</v>
      </c>
      <c r="H122">
        <v>158.87799999999999</v>
      </c>
      <c r="I122">
        <v>0.98465346534653464</v>
      </c>
      <c r="J122">
        <v>223.53399999999999</v>
      </c>
      <c r="K122">
        <v>0</v>
      </c>
      <c r="L122">
        <v>1.002</v>
      </c>
      <c r="M122">
        <v>-22.315999999999999</v>
      </c>
      <c r="N122">
        <v>894.98699999999997</v>
      </c>
      <c r="O122">
        <v>879.22400000000005</v>
      </c>
      <c r="P122">
        <v>31.018999999999998</v>
      </c>
      <c r="Q122">
        <v>832.94899999999996</v>
      </c>
      <c r="R122">
        <v>925.49800000000005</v>
      </c>
      <c r="S122">
        <v>1053.2570000000001</v>
      </c>
      <c r="T122">
        <v>1064.3230000000001</v>
      </c>
      <c r="U122">
        <v>59.951999999999998</v>
      </c>
      <c r="V122">
        <v>971.77300000000002</v>
      </c>
      <c r="W122">
        <v>1527.0719999999999</v>
      </c>
      <c r="X122">
        <v>3044.085</v>
      </c>
      <c r="Y122">
        <v>3007.87</v>
      </c>
      <c r="Z122">
        <v>211.761</v>
      </c>
      <c r="AA122">
        <v>2545.1210000000001</v>
      </c>
      <c r="AB122">
        <v>3470.6190000000001</v>
      </c>
      <c r="AC122">
        <v>2.02</v>
      </c>
      <c r="AD122">
        <v>186.18100000000001</v>
      </c>
      <c r="AE122">
        <v>186.41300000000001</v>
      </c>
      <c r="AF122">
        <v>3.2269999999999999</v>
      </c>
      <c r="AG122">
        <v>171.405</v>
      </c>
      <c r="AH122">
        <v>0.98446601941747569</v>
      </c>
      <c r="AI122">
        <v>193.3</v>
      </c>
      <c r="AJ122">
        <v>0.86262135922330085</v>
      </c>
      <c r="AK122">
        <v>0.78</v>
      </c>
      <c r="AL122">
        <v>-23.140999999999998</v>
      </c>
      <c r="AM122">
        <v>358.38</v>
      </c>
      <c r="AN122">
        <v>354.93</v>
      </c>
      <c r="AO122">
        <v>32.735999999999997</v>
      </c>
      <c r="AP122">
        <v>354.93</v>
      </c>
      <c r="AQ122">
        <v>665.49300000000005</v>
      </c>
      <c r="AR122">
        <v>2246.8670000000002</v>
      </c>
      <c r="AS122">
        <v>2262.6759999999999</v>
      </c>
      <c r="AT122">
        <v>166.13800000000001</v>
      </c>
      <c r="AU122">
        <v>1552.817</v>
      </c>
      <c r="AV122">
        <v>2528.873</v>
      </c>
      <c r="AW122">
        <v>4129.0140000000001</v>
      </c>
      <c r="AX122">
        <v>4126.0559999999996</v>
      </c>
      <c r="AY122">
        <v>129.95400000000001</v>
      </c>
      <c r="AZ122">
        <v>3771.127</v>
      </c>
      <c r="BA122">
        <v>4392.2539999999999</v>
      </c>
      <c r="BB122">
        <v>2.06</v>
      </c>
      <c r="BC122">
        <v>184.13</v>
      </c>
      <c r="BD122">
        <v>184.07900000000001</v>
      </c>
      <c r="BE122">
        <v>2.1960000000000002</v>
      </c>
      <c r="BF122">
        <v>176.905</v>
      </c>
      <c r="BG122">
        <v>0.9839449541284403</v>
      </c>
      <c r="BH122">
        <v>189.73599999999999</v>
      </c>
      <c r="BI122">
        <v>6.3302752293577985E-2</v>
      </c>
      <c r="BJ122">
        <v>0.56799999999999995</v>
      </c>
      <c r="BK122">
        <v>-29.831</v>
      </c>
      <c r="BL122">
        <v>400.12900000000002</v>
      </c>
      <c r="BM122">
        <v>394.53300000000002</v>
      </c>
      <c r="BN122">
        <v>16.050999999999998</v>
      </c>
      <c r="BO122">
        <v>350.69600000000003</v>
      </c>
      <c r="BP122">
        <v>438.37</v>
      </c>
      <c r="BQ122">
        <v>1050.626</v>
      </c>
      <c r="BR122">
        <v>1052.087</v>
      </c>
      <c r="BS122">
        <v>14.021000000000001</v>
      </c>
      <c r="BT122">
        <v>1008.25</v>
      </c>
      <c r="BU122">
        <v>1095.924</v>
      </c>
      <c r="BV122">
        <v>4053.0549999999998</v>
      </c>
      <c r="BW122">
        <v>4033.002</v>
      </c>
      <c r="BX122">
        <v>58.448999999999998</v>
      </c>
      <c r="BY122">
        <v>3901.491</v>
      </c>
      <c r="BZ122">
        <v>4208.3500000000004</v>
      </c>
      <c r="CA122">
        <v>2.1800000000000002</v>
      </c>
      <c r="CB122">
        <v>5</v>
      </c>
      <c r="CC122">
        <v>4</v>
      </c>
      <c r="CD122">
        <v>6</v>
      </c>
      <c r="CE122">
        <v>5</v>
      </c>
      <c r="CF122">
        <v>6</v>
      </c>
    </row>
    <row r="123" spans="1:84" x14ac:dyDescent="0.35">
      <c r="A123" t="s">
        <v>130</v>
      </c>
      <c r="B123" t="str">
        <f t="shared" si="6"/>
        <v xml:space="preserve"> no_un_2005_06_29_880</v>
      </c>
      <c r="C123" s="1">
        <f t="shared" si="7"/>
        <v>45750</v>
      </c>
      <c r="D123" t="s">
        <v>78</v>
      </c>
      <c r="E123">
        <v>216.709</v>
      </c>
      <c r="F123">
        <v>215.874</v>
      </c>
      <c r="G123">
        <v>5.7329999999999997</v>
      </c>
      <c r="H123">
        <v>207.46</v>
      </c>
      <c r="I123">
        <v>9.6938775510204082E-3</v>
      </c>
      <c r="J123">
        <v>243.64599999999999</v>
      </c>
      <c r="K123">
        <v>0.98520408163265305</v>
      </c>
      <c r="L123">
        <v>0.56799999999999995</v>
      </c>
      <c r="M123">
        <v>-25.062000000000001</v>
      </c>
      <c r="N123">
        <v>743.26099999999997</v>
      </c>
      <c r="O123">
        <v>732.38400000000001</v>
      </c>
      <c r="P123">
        <v>52.478999999999999</v>
      </c>
      <c r="Q123">
        <v>470.81900000000002</v>
      </c>
      <c r="R123">
        <v>837.01099999999997</v>
      </c>
      <c r="S123">
        <v>1059.3420000000001</v>
      </c>
      <c r="T123">
        <v>1046.2629999999999</v>
      </c>
      <c r="U123">
        <v>58.488</v>
      </c>
      <c r="V123">
        <v>993.95</v>
      </c>
      <c r="W123">
        <v>1255.5160000000001</v>
      </c>
      <c r="X123">
        <v>2884.9929999999999</v>
      </c>
      <c r="Y123">
        <v>2824.9110000000001</v>
      </c>
      <c r="Z123">
        <v>171.98</v>
      </c>
      <c r="AA123">
        <v>2615.6579999999999</v>
      </c>
      <c r="AB123">
        <v>3295.73</v>
      </c>
      <c r="AC123">
        <v>1.96</v>
      </c>
      <c r="AD123">
        <v>225.816</v>
      </c>
      <c r="AE123">
        <v>224.83600000000001</v>
      </c>
      <c r="AF123">
        <v>4.5149999999999997</v>
      </c>
      <c r="AG123">
        <v>220.34299999999999</v>
      </c>
      <c r="AH123">
        <v>0.43817204301075263</v>
      </c>
      <c r="AI123">
        <v>250.77199999999999</v>
      </c>
      <c r="AJ123">
        <v>0</v>
      </c>
      <c r="AK123">
        <v>0.52400000000000002</v>
      </c>
      <c r="AL123">
        <v>-28.89</v>
      </c>
      <c r="AM123">
        <v>358.96300000000002</v>
      </c>
      <c r="AN123">
        <v>382.05399999999997</v>
      </c>
      <c r="AO123">
        <v>27.228000000000002</v>
      </c>
      <c r="AP123">
        <v>327.47500000000002</v>
      </c>
      <c r="AQ123">
        <v>382.05399999999997</v>
      </c>
      <c r="AR123">
        <v>2328.3490000000002</v>
      </c>
      <c r="AS123">
        <v>2401.4850000000001</v>
      </c>
      <c r="AT123">
        <v>145.17599999999999</v>
      </c>
      <c r="AU123">
        <v>1746.5350000000001</v>
      </c>
      <c r="AV123">
        <v>2456.0639999999999</v>
      </c>
      <c r="AW123">
        <v>2980.5709999999999</v>
      </c>
      <c r="AX123">
        <v>2947.277</v>
      </c>
      <c r="AY123">
        <v>113.985</v>
      </c>
      <c r="AZ123">
        <v>2783.54</v>
      </c>
      <c r="BA123">
        <v>3329.3319999999999</v>
      </c>
      <c r="BB123">
        <v>1.86</v>
      </c>
      <c r="BC123">
        <v>226.483</v>
      </c>
      <c r="BD123">
        <v>226.154</v>
      </c>
      <c r="BE123">
        <v>3.8780000000000001</v>
      </c>
      <c r="BF123">
        <v>218.471</v>
      </c>
      <c r="BG123">
        <v>0.42499999999999999</v>
      </c>
      <c r="BH123">
        <v>245.78</v>
      </c>
      <c r="BI123">
        <v>0.98541666666666661</v>
      </c>
      <c r="BJ123">
        <v>0.63300000000000001</v>
      </c>
      <c r="BK123">
        <v>-28.64</v>
      </c>
      <c r="BL123">
        <v>382.71199999999999</v>
      </c>
      <c r="BM123">
        <v>381.11099999999999</v>
      </c>
      <c r="BN123">
        <v>34.651000000000003</v>
      </c>
      <c r="BO123">
        <v>326.66699999999997</v>
      </c>
      <c r="BP123">
        <v>707.77800000000002</v>
      </c>
      <c r="BQ123">
        <v>1195.3309999999999</v>
      </c>
      <c r="BR123">
        <v>1088.8889999999999</v>
      </c>
      <c r="BS123">
        <v>212.59800000000001</v>
      </c>
      <c r="BT123">
        <v>980</v>
      </c>
      <c r="BU123">
        <v>1851.1110000000001</v>
      </c>
      <c r="BV123">
        <v>2992.33</v>
      </c>
      <c r="BW123">
        <v>2940</v>
      </c>
      <c r="BX123">
        <v>274.23500000000001</v>
      </c>
      <c r="BY123">
        <v>2558.8890000000001</v>
      </c>
      <c r="BZ123">
        <v>3865.556</v>
      </c>
      <c r="CA123">
        <v>1.92</v>
      </c>
    </row>
    <row r="124" spans="1:84" x14ac:dyDescent="0.35">
      <c r="A124" t="s">
        <v>94</v>
      </c>
      <c r="B124" t="str">
        <f t="shared" si="6"/>
        <v xml:space="preserve"> pa_po_2005_02_13_810</v>
      </c>
      <c r="C124" s="1">
        <f t="shared" si="7"/>
        <v>45748</v>
      </c>
      <c r="D124" t="s">
        <v>78</v>
      </c>
      <c r="E124">
        <v>195.03</v>
      </c>
      <c r="F124">
        <v>194.15100000000001</v>
      </c>
      <c r="G124">
        <v>6.8390000000000004</v>
      </c>
      <c r="H124">
        <v>191.38300000000001</v>
      </c>
      <c r="I124">
        <v>0.320935960591133</v>
      </c>
      <c r="J124">
        <v>283.73200000000003</v>
      </c>
      <c r="K124">
        <v>5.1724137931034491E-3</v>
      </c>
      <c r="L124">
        <v>0.59399999999999997</v>
      </c>
      <c r="M124">
        <v>-20.548999999999999</v>
      </c>
      <c r="N124">
        <v>842.46500000000003</v>
      </c>
      <c r="O124">
        <v>847.17200000000003</v>
      </c>
      <c r="P124">
        <v>84.63</v>
      </c>
      <c r="Q124">
        <v>423.58600000000001</v>
      </c>
      <c r="R124">
        <v>1082.4970000000001</v>
      </c>
      <c r="S124">
        <v>1260.106</v>
      </c>
      <c r="T124">
        <v>1270.758</v>
      </c>
      <c r="U124">
        <v>71.424000000000007</v>
      </c>
      <c r="V124">
        <v>1129.5619999999999</v>
      </c>
      <c r="W124">
        <v>1647.279</v>
      </c>
      <c r="X124">
        <v>2537.0569999999998</v>
      </c>
      <c r="Y124">
        <v>2494.4499999999998</v>
      </c>
      <c r="Z124">
        <v>197.387</v>
      </c>
      <c r="AA124">
        <v>2212.06</v>
      </c>
      <c r="AB124">
        <v>4000.5340000000001</v>
      </c>
      <c r="AC124">
        <v>4.0599999999999996</v>
      </c>
      <c r="AD124">
        <v>195.363</v>
      </c>
      <c r="AE124">
        <v>194.518</v>
      </c>
      <c r="AF124">
        <v>4.8259999999999996</v>
      </c>
      <c r="AG124">
        <v>190.321</v>
      </c>
      <c r="AH124">
        <v>0.97340425531914898</v>
      </c>
      <c r="AI124">
        <v>237.09700000000001</v>
      </c>
      <c r="AJ124">
        <v>0</v>
      </c>
      <c r="AK124">
        <v>0.32900000000000001</v>
      </c>
      <c r="AL124">
        <v>-29.341000000000001</v>
      </c>
      <c r="AM124">
        <v>371.48500000000001</v>
      </c>
      <c r="AN124">
        <v>371.76</v>
      </c>
      <c r="AO124">
        <v>19.96</v>
      </c>
      <c r="AP124">
        <v>325.29000000000002</v>
      </c>
      <c r="AQ124">
        <v>604.11</v>
      </c>
      <c r="AR124">
        <v>2137.6190000000001</v>
      </c>
      <c r="AS124">
        <v>2067.9140000000002</v>
      </c>
      <c r="AT124">
        <v>356.33699999999999</v>
      </c>
      <c r="AU124">
        <v>1765.8589999999999</v>
      </c>
      <c r="AV124">
        <v>2602.3180000000002</v>
      </c>
      <c r="AW124">
        <v>3562.877</v>
      </c>
      <c r="AX124">
        <v>3531.7179999999998</v>
      </c>
      <c r="AY124">
        <v>176.60499999999999</v>
      </c>
      <c r="AZ124">
        <v>2927.6080000000002</v>
      </c>
      <c r="BA124">
        <v>3949.9470000000001</v>
      </c>
      <c r="BB124">
        <v>3.76</v>
      </c>
      <c r="BC124">
        <v>196.381</v>
      </c>
      <c r="BD124">
        <v>196.624</v>
      </c>
      <c r="BE124">
        <v>5.65</v>
      </c>
      <c r="BF124">
        <v>127.932</v>
      </c>
      <c r="BG124">
        <v>0</v>
      </c>
      <c r="BH124">
        <v>207.739</v>
      </c>
      <c r="BI124">
        <v>1.1748633879781419E-2</v>
      </c>
      <c r="BJ124">
        <v>0.68200000000000005</v>
      </c>
      <c r="BK124">
        <v>-29.853999999999999</v>
      </c>
      <c r="BL124">
        <v>397.512</v>
      </c>
      <c r="BM124">
        <v>419.113</v>
      </c>
      <c r="BN124">
        <v>23.850999999999999</v>
      </c>
      <c r="BO124">
        <v>325.97699999999998</v>
      </c>
      <c r="BP124">
        <v>419.113</v>
      </c>
      <c r="BQ124">
        <v>1022.9589999999999</v>
      </c>
      <c r="BR124">
        <v>977.93</v>
      </c>
      <c r="BS124">
        <v>178.74</v>
      </c>
      <c r="BT124">
        <v>931.36199999999997</v>
      </c>
      <c r="BU124">
        <v>2095.5650000000001</v>
      </c>
      <c r="BV124">
        <v>3577.2020000000002</v>
      </c>
      <c r="BW124">
        <v>3632.3130000000001</v>
      </c>
      <c r="BX124">
        <v>248.95099999999999</v>
      </c>
      <c r="BY124">
        <v>2654.3820000000001</v>
      </c>
      <c r="BZ124">
        <v>4749.9470000000001</v>
      </c>
      <c r="CA124">
        <v>3.66</v>
      </c>
      <c r="CB124">
        <v>8</v>
      </c>
      <c r="CC124">
        <v>4</v>
      </c>
      <c r="CD124">
        <v>1</v>
      </c>
      <c r="CE124">
        <v>5</v>
      </c>
      <c r="CF124">
        <v>4</v>
      </c>
    </row>
    <row r="125" spans="1:84" x14ac:dyDescent="0.35">
      <c r="A125" t="s">
        <v>194</v>
      </c>
      <c r="B125" t="str">
        <f t="shared" si="6"/>
        <v xml:space="preserve"> ra_pe_2005_02_25_938</v>
      </c>
      <c r="C125" s="1">
        <f t="shared" si="7"/>
        <v>45753</v>
      </c>
      <c r="D125" t="s">
        <v>78</v>
      </c>
      <c r="E125">
        <v>175.69300000000001</v>
      </c>
      <c r="F125">
        <v>172.26599999999999</v>
      </c>
      <c r="G125">
        <v>24.132000000000001</v>
      </c>
      <c r="H125">
        <v>161.53800000000001</v>
      </c>
      <c r="I125">
        <v>9.7619047619047633E-2</v>
      </c>
      <c r="J125">
        <v>331.57900000000001</v>
      </c>
      <c r="K125">
        <v>2.6190476190476191E-2</v>
      </c>
      <c r="L125">
        <v>1.458</v>
      </c>
      <c r="M125">
        <v>-25.571999999999999</v>
      </c>
      <c r="N125">
        <v>587.35599999999999</v>
      </c>
      <c r="O125">
        <v>591.37900000000002</v>
      </c>
      <c r="P125">
        <v>102.968</v>
      </c>
      <c r="Q125">
        <v>464.65499999999997</v>
      </c>
      <c r="R125">
        <v>1056.0340000000001</v>
      </c>
      <c r="S125">
        <v>1288.3620000000001</v>
      </c>
      <c r="T125">
        <v>1309.4829999999999</v>
      </c>
      <c r="U125">
        <v>69.632999999999996</v>
      </c>
      <c r="V125">
        <v>1013.793</v>
      </c>
      <c r="W125">
        <v>1436.2070000000001</v>
      </c>
      <c r="X125">
        <v>3519.31</v>
      </c>
      <c r="Y125">
        <v>3548.2759999999998</v>
      </c>
      <c r="Z125">
        <v>146.42400000000001</v>
      </c>
      <c r="AA125">
        <v>2999.1379999999999</v>
      </c>
      <c r="AB125">
        <v>3759.4830000000002</v>
      </c>
      <c r="AC125">
        <v>1.68</v>
      </c>
      <c r="AD125">
        <v>176.94300000000001</v>
      </c>
      <c r="AE125">
        <v>177.108</v>
      </c>
      <c r="AF125">
        <v>2.3199999999999998</v>
      </c>
      <c r="AG125">
        <v>171.88200000000001</v>
      </c>
      <c r="AH125">
        <v>4.9484536082474231E-2</v>
      </c>
      <c r="AI125">
        <v>191.02699999999999</v>
      </c>
      <c r="AJ125">
        <v>0</v>
      </c>
      <c r="AK125">
        <v>0.48099999999999998</v>
      </c>
      <c r="AL125">
        <v>-28.556999999999999</v>
      </c>
      <c r="AM125">
        <v>332.60500000000002</v>
      </c>
      <c r="AN125">
        <v>339.23099999999999</v>
      </c>
      <c r="AO125">
        <v>15.643000000000001</v>
      </c>
      <c r="AP125">
        <v>296.827</v>
      </c>
      <c r="AQ125">
        <v>339.23099999999999</v>
      </c>
      <c r="AR125">
        <v>2535.194</v>
      </c>
      <c r="AS125">
        <v>2544.2310000000002</v>
      </c>
      <c r="AT125">
        <v>130.494</v>
      </c>
      <c r="AU125">
        <v>1696.154</v>
      </c>
      <c r="AV125">
        <v>2629.038</v>
      </c>
      <c r="AW125">
        <v>3624.22</v>
      </c>
      <c r="AX125">
        <v>3646.7310000000002</v>
      </c>
      <c r="AY125">
        <v>146.44499999999999</v>
      </c>
      <c r="AZ125">
        <v>2968.2689999999998</v>
      </c>
      <c r="BA125">
        <v>3985.962</v>
      </c>
      <c r="BB125">
        <v>1.94</v>
      </c>
      <c r="BC125">
        <v>180.643</v>
      </c>
      <c r="BD125">
        <v>178.95699999999999</v>
      </c>
      <c r="BE125">
        <v>6.6989999999999998</v>
      </c>
      <c r="BF125">
        <v>175.59700000000001</v>
      </c>
      <c r="BG125">
        <v>0.28484848484848485</v>
      </c>
      <c r="BH125">
        <v>235.11</v>
      </c>
      <c r="BI125">
        <v>1.2121212121212121E-2</v>
      </c>
      <c r="BJ125">
        <v>0.94899999999999995</v>
      </c>
      <c r="BK125">
        <v>-28.59</v>
      </c>
      <c r="BL125">
        <v>346.61500000000001</v>
      </c>
      <c r="BM125">
        <v>344.53100000000001</v>
      </c>
      <c r="BN125">
        <v>16.408000000000001</v>
      </c>
      <c r="BO125">
        <v>301.46499999999997</v>
      </c>
      <c r="BP125">
        <v>430.66399999999999</v>
      </c>
      <c r="BQ125">
        <v>1239.614</v>
      </c>
      <c r="BR125">
        <v>1248.9259999999999</v>
      </c>
      <c r="BS125">
        <v>66.668000000000006</v>
      </c>
      <c r="BT125">
        <v>1119.7270000000001</v>
      </c>
      <c r="BU125">
        <v>1378.125</v>
      </c>
      <c r="BV125">
        <v>3618.6039999999998</v>
      </c>
      <c r="BW125">
        <v>3617.578</v>
      </c>
      <c r="BX125">
        <v>304.964</v>
      </c>
      <c r="BY125">
        <v>2971.5819999999999</v>
      </c>
      <c r="BZ125">
        <v>4349.7070000000003</v>
      </c>
      <c r="CA125">
        <v>1.98</v>
      </c>
      <c r="CB125">
        <v>5</v>
      </c>
      <c r="CC125">
        <v>2</v>
      </c>
      <c r="CD125">
        <v>2</v>
      </c>
      <c r="CE125">
        <v>3</v>
      </c>
      <c r="CF125">
        <v>2</v>
      </c>
    </row>
    <row r="126" spans="1:84" x14ac:dyDescent="0.35">
      <c r="A126" t="s">
        <v>171</v>
      </c>
      <c r="B126" t="str">
        <f t="shared" si="6"/>
        <v xml:space="preserve"> re_ma_2005_11_25_490</v>
      </c>
      <c r="C126" s="1">
        <f t="shared" si="7"/>
        <v>45752</v>
      </c>
      <c r="D126" t="s">
        <v>78</v>
      </c>
      <c r="E126">
        <v>177.67599999999999</v>
      </c>
      <c r="F126">
        <v>176.4</v>
      </c>
      <c r="G126">
        <v>5.62</v>
      </c>
      <c r="H126">
        <v>171.691</v>
      </c>
      <c r="I126">
        <v>0.78159999999999996</v>
      </c>
      <c r="J126">
        <v>210.286</v>
      </c>
      <c r="K126">
        <v>0</v>
      </c>
      <c r="L126">
        <v>0.46400000000000002</v>
      </c>
      <c r="M126">
        <v>-21.922000000000001</v>
      </c>
      <c r="N126">
        <v>659.654</v>
      </c>
      <c r="O126">
        <v>635.447</v>
      </c>
      <c r="P126">
        <v>61.293999999999997</v>
      </c>
      <c r="Q126">
        <v>550.72</v>
      </c>
      <c r="R126">
        <v>931.98800000000006</v>
      </c>
      <c r="S126">
        <v>1158.0609999999999</v>
      </c>
      <c r="T126">
        <v>1143.8040000000001</v>
      </c>
      <c r="U126">
        <v>43.624000000000002</v>
      </c>
      <c r="V126">
        <v>1059.078</v>
      </c>
      <c r="W126">
        <v>1270.893</v>
      </c>
      <c r="X126">
        <v>2932.3339999999998</v>
      </c>
      <c r="Y126">
        <v>2923.0549999999998</v>
      </c>
      <c r="Z126">
        <v>121.25</v>
      </c>
      <c r="AA126">
        <v>2753.6019999999999</v>
      </c>
      <c r="AB126">
        <v>3389.049</v>
      </c>
      <c r="AC126">
        <v>2.5</v>
      </c>
      <c r="AD126">
        <v>179.15299999999999</v>
      </c>
      <c r="AE126">
        <v>178.54300000000001</v>
      </c>
      <c r="AF126">
        <v>6.3849999999999998</v>
      </c>
      <c r="AG126">
        <v>168.596</v>
      </c>
      <c r="AH126">
        <v>0.34795081967213115</v>
      </c>
      <c r="AI126">
        <v>208.58099999999999</v>
      </c>
      <c r="AJ126">
        <v>8.1967213114754103E-3</v>
      </c>
      <c r="AK126">
        <v>0.75</v>
      </c>
      <c r="AL126">
        <v>-25.398</v>
      </c>
      <c r="AM126">
        <v>339.45800000000003</v>
      </c>
      <c r="AN126">
        <v>341.19900000000001</v>
      </c>
      <c r="AO126">
        <v>10.462</v>
      </c>
      <c r="AP126">
        <v>298.54899999999998</v>
      </c>
      <c r="AQ126">
        <v>383.84899999999999</v>
      </c>
      <c r="AR126">
        <v>2599.9380000000001</v>
      </c>
      <c r="AS126">
        <v>2601.6439999999998</v>
      </c>
      <c r="AT126">
        <v>37.908000000000001</v>
      </c>
      <c r="AU126">
        <v>2516.3440000000001</v>
      </c>
      <c r="AV126">
        <v>2644.2939999999999</v>
      </c>
      <c r="AW126">
        <v>3320.067</v>
      </c>
      <c r="AX126">
        <v>3326.692</v>
      </c>
      <c r="AY126">
        <v>150.584</v>
      </c>
      <c r="AZ126">
        <v>2985.4929999999999</v>
      </c>
      <c r="BA126">
        <v>3625.2420000000002</v>
      </c>
      <c r="BB126">
        <v>2.44</v>
      </c>
      <c r="BC126">
        <v>178.74700000000001</v>
      </c>
      <c r="BD126">
        <v>175.89699999999999</v>
      </c>
      <c r="BE126">
        <v>8.7959999999999994</v>
      </c>
      <c r="BF126">
        <v>170.17599999999999</v>
      </c>
      <c r="BG126">
        <v>0.97933884297520668</v>
      </c>
      <c r="BH126">
        <v>207.739</v>
      </c>
      <c r="BI126">
        <v>2.8925619834710748E-2</v>
      </c>
      <c r="BJ126">
        <v>0.51</v>
      </c>
      <c r="BK126">
        <v>-29.949000000000002</v>
      </c>
      <c r="BL126">
        <v>348.37200000000001</v>
      </c>
      <c r="BM126">
        <v>344.19499999999999</v>
      </c>
      <c r="BN126">
        <v>14.148</v>
      </c>
      <c r="BO126">
        <v>301.17099999999999</v>
      </c>
      <c r="BP126">
        <v>387.22</v>
      </c>
      <c r="BQ126">
        <v>975.22</v>
      </c>
      <c r="BR126">
        <v>989.56100000000004</v>
      </c>
      <c r="BS126">
        <v>21.512</v>
      </c>
      <c r="BT126">
        <v>946.53700000000003</v>
      </c>
      <c r="BU126">
        <v>989.56100000000004</v>
      </c>
      <c r="BV126">
        <v>3419.395</v>
      </c>
      <c r="BW126">
        <v>3355.902</v>
      </c>
      <c r="BX126">
        <v>325.15300000000002</v>
      </c>
      <c r="BY126">
        <v>2882.634</v>
      </c>
      <c r="BZ126">
        <v>4474.5370000000003</v>
      </c>
      <c r="CA126">
        <v>2.42</v>
      </c>
      <c r="CB126">
        <v>4</v>
      </c>
      <c r="CC126">
        <v>1</v>
      </c>
      <c r="CD126">
        <v>2</v>
      </c>
      <c r="CE126">
        <v>4</v>
      </c>
      <c r="CF126">
        <v>0</v>
      </c>
    </row>
    <row r="127" spans="1:84" x14ac:dyDescent="0.35">
      <c r="A127" t="s">
        <v>172</v>
      </c>
      <c r="B127" t="str">
        <f t="shared" ref="B127:B158" si="8">_xlfn.TEXTAFTER(A127,"-")</f>
        <v xml:space="preserve"> ro_br_1995_10_30_057</v>
      </c>
      <c r="C127" s="1">
        <f t="shared" si="7"/>
        <v>45752</v>
      </c>
      <c r="D127" t="s">
        <v>78</v>
      </c>
      <c r="E127">
        <v>177.53899999999999</v>
      </c>
      <c r="F127">
        <v>177.51599999999999</v>
      </c>
      <c r="G127">
        <v>2.2749999999999999</v>
      </c>
      <c r="H127">
        <v>170.083</v>
      </c>
      <c r="I127">
        <v>0.76981981981981984</v>
      </c>
      <c r="J127">
        <v>182.124</v>
      </c>
      <c r="K127">
        <v>0.70585585585585575</v>
      </c>
      <c r="L127">
        <v>0.72399999999999998</v>
      </c>
      <c r="M127">
        <v>-25.44</v>
      </c>
      <c r="N127">
        <v>564.13699999999994</v>
      </c>
      <c r="O127">
        <v>553.37800000000004</v>
      </c>
      <c r="P127">
        <v>58.017000000000003</v>
      </c>
      <c r="Q127">
        <v>425.67599999999999</v>
      </c>
      <c r="R127">
        <v>723.649</v>
      </c>
      <c r="S127">
        <v>1053.153</v>
      </c>
      <c r="T127">
        <v>1021.622</v>
      </c>
      <c r="U127">
        <v>56.801000000000002</v>
      </c>
      <c r="V127">
        <v>979.05399999999997</v>
      </c>
      <c r="W127">
        <v>1362.162</v>
      </c>
      <c r="X127">
        <v>2801.221</v>
      </c>
      <c r="Y127">
        <v>2809.4589999999998</v>
      </c>
      <c r="Z127">
        <v>92.721999999999994</v>
      </c>
      <c r="AA127">
        <v>2426.3510000000001</v>
      </c>
      <c r="AB127">
        <v>3107.4319999999998</v>
      </c>
      <c r="AC127">
        <v>2.2200000000000002</v>
      </c>
      <c r="AD127">
        <v>177.70500000000001</v>
      </c>
      <c r="AE127">
        <v>177.108</v>
      </c>
      <c r="AF127">
        <v>3.2320000000000002</v>
      </c>
      <c r="AG127">
        <v>171.88200000000001</v>
      </c>
      <c r="AH127">
        <v>0.81352459016393452</v>
      </c>
      <c r="AI127">
        <v>192.697</v>
      </c>
      <c r="AJ127">
        <v>0</v>
      </c>
      <c r="AK127">
        <v>0.59</v>
      </c>
      <c r="AL127">
        <v>-30.552</v>
      </c>
      <c r="AM127">
        <v>339.49599999999998</v>
      </c>
      <c r="AN127">
        <v>337.93099999999998</v>
      </c>
      <c r="AO127">
        <v>8027</v>
      </c>
      <c r="AP127">
        <v>337.93099999999998</v>
      </c>
      <c r="AQ127">
        <v>380.17200000000003</v>
      </c>
      <c r="AR127">
        <v>2473.828</v>
      </c>
      <c r="AS127">
        <v>2534.4830000000002</v>
      </c>
      <c r="AT127">
        <v>181.24600000000001</v>
      </c>
      <c r="AU127">
        <v>1478.4480000000001</v>
      </c>
      <c r="AV127">
        <v>2576.7240000000002</v>
      </c>
      <c r="AW127">
        <v>3157.3359999999998</v>
      </c>
      <c r="AX127">
        <v>3168.1030000000001</v>
      </c>
      <c r="AY127">
        <v>135.898</v>
      </c>
      <c r="AZ127">
        <v>2872.4140000000002</v>
      </c>
      <c r="BA127">
        <v>3632.759</v>
      </c>
      <c r="BB127">
        <v>2.44</v>
      </c>
      <c r="BC127">
        <v>179.505</v>
      </c>
      <c r="BD127">
        <v>179.58099999999999</v>
      </c>
      <c r="BE127">
        <v>3.2080000000000002</v>
      </c>
      <c r="BF127">
        <v>170.64699999999999</v>
      </c>
      <c r="BG127">
        <v>1</v>
      </c>
      <c r="BH127">
        <v>188.577</v>
      </c>
      <c r="BI127">
        <v>7.9365079365079361E-3</v>
      </c>
      <c r="BJ127">
        <v>0.58799999999999997</v>
      </c>
      <c r="BK127">
        <v>-31.172999999999998</v>
      </c>
      <c r="BL127">
        <v>350.92700000000002</v>
      </c>
      <c r="BM127">
        <v>342.524</v>
      </c>
      <c r="BN127">
        <v>17.085000000000001</v>
      </c>
      <c r="BO127">
        <v>342.524</v>
      </c>
      <c r="BP127">
        <v>385.34</v>
      </c>
      <c r="BQ127">
        <v>1051.3589999999999</v>
      </c>
      <c r="BR127">
        <v>1027.5730000000001</v>
      </c>
      <c r="BS127">
        <v>101.691</v>
      </c>
      <c r="BT127">
        <v>984.75699999999995</v>
      </c>
      <c r="BU127">
        <v>1412.913</v>
      </c>
      <c r="BV127">
        <v>3682.136</v>
      </c>
      <c r="BW127">
        <v>3724.951</v>
      </c>
      <c r="BX127">
        <v>156.04499999999999</v>
      </c>
      <c r="BY127">
        <v>2954.2719999999999</v>
      </c>
      <c r="BZ127">
        <v>4067.4760000000001</v>
      </c>
      <c r="CA127">
        <v>2.52</v>
      </c>
      <c r="CB127">
        <v>5</v>
      </c>
      <c r="CC127">
        <v>0</v>
      </c>
      <c r="CD127">
        <v>0</v>
      </c>
      <c r="CE127">
        <v>1</v>
      </c>
      <c r="CF127">
        <v>0</v>
      </c>
    </row>
    <row r="128" spans="1:84" x14ac:dyDescent="0.35">
      <c r="A128" t="s">
        <v>200</v>
      </c>
      <c r="B128" t="str">
        <f t="shared" si="8"/>
        <v xml:space="preserve"> sa_ol_2004_06_21_909</v>
      </c>
      <c r="C128" s="1">
        <f t="shared" si="7"/>
        <v>45758</v>
      </c>
      <c r="D128" t="s">
        <v>78</v>
      </c>
      <c r="E128">
        <v>177.03899999999999</v>
      </c>
      <c r="F128">
        <v>177.00700000000001</v>
      </c>
      <c r="G128">
        <v>1.53</v>
      </c>
      <c r="H128">
        <v>172.84399999999999</v>
      </c>
      <c r="I128">
        <v>7.9111111111111104E-2</v>
      </c>
      <c r="J128">
        <v>186.07599999999999</v>
      </c>
      <c r="K128">
        <v>0.99244444444444446</v>
      </c>
      <c r="L128">
        <v>0.35099999999999998</v>
      </c>
      <c r="M128">
        <v>-22.574000000000002</v>
      </c>
      <c r="N128">
        <v>707.61400000000003</v>
      </c>
      <c r="O128">
        <v>719.48199999999997</v>
      </c>
      <c r="P128">
        <v>50.165999999999997</v>
      </c>
      <c r="Q128">
        <v>465.54700000000003</v>
      </c>
      <c r="R128">
        <v>931.09400000000005</v>
      </c>
      <c r="S128">
        <v>1101.3979999999999</v>
      </c>
      <c r="T128">
        <v>1100.384</v>
      </c>
      <c r="U128">
        <v>76.185000000000002</v>
      </c>
      <c r="V128">
        <v>973.41700000000003</v>
      </c>
      <c r="W128">
        <v>1481.2860000000001</v>
      </c>
      <c r="X128">
        <v>3127.1590000000001</v>
      </c>
      <c r="Y128">
        <v>3131.8620000000001</v>
      </c>
      <c r="Z128">
        <v>95.370999999999995</v>
      </c>
      <c r="AA128">
        <v>2920.25</v>
      </c>
      <c r="AB128">
        <v>3385.797</v>
      </c>
      <c r="AC128">
        <v>4.5</v>
      </c>
      <c r="AD128">
        <v>180.44300000000001</v>
      </c>
      <c r="AE128">
        <v>179.42500000000001</v>
      </c>
      <c r="AF128">
        <v>11.081</v>
      </c>
      <c r="AG128">
        <v>175.49700000000001</v>
      </c>
      <c r="AH128">
        <v>5.7468879668049797E-2</v>
      </c>
      <c r="AI128">
        <v>294</v>
      </c>
      <c r="AJ128">
        <v>8.9211618257261406E-3</v>
      </c>
      <c r="AK128">
        <v>0.45200000000000001</v>
      </c>
      <c r="AL128">
        <v>-28.757999999999999</v>
      </c>
      <c r="AM128">
        <v>343.52499999999998</v>
      </c>
      <c r="AN128">
        <v>343.52499999999998</v>
      </c>
      <c r="AO128">
        <v>4241</v>
      </c>
      <c r="AP128">
        <v>300.584</v>
      </c>
      <c r="AQ128">
        <v>386.46499999999997</v>
      </c>
      <c r="AR128">
        <v>2560.1640000000002</v>
      </c>
      <c r="AS128">
        <v>2576.4360000000001</v>
      </c>
      <c r="AT128">
        <v>34.031999999999996</v>
      </c>
      <c r="AU128">
        <v>2490.5549999999998</v>
      </c>
      <c r="AV128">
        <v>2619.377</v>
      </c>
      <c r="AW128">
        <v>3352.2849999999999</v>
      </c>
      <c r="AX128">
        <v>3349.3670000000002</v>
      </c>
      <c r="AY128">
        <v>92.49</v>
      </c>
      <c r="AZ128">
        <v>3005.8420000000001</v>
      </c>
      <c r="BA128">
        <v>3564.07</v>
      </c>
      <c r="BB128">
        <v>4.82</v>
      </c>
      <c r="BC128">
        <v>178.86799999999999</v>
      </c>
      <c r="BD128">
        <v>178.64599999999999</v>
      </c>
      <c r="BE128">
        <v>1.6619999999999999</v>
      </c>
      <c r="BF128">
        <v>168.596</v>
      </c>
      <c r="BG128">
        <v>4.9504950495049506E-3</v>
      </c>
      <c r="BH128">
        <v>187.66</v>
      </c>
      <c r="BI128">
        <v>0.99925742574257426</v>
      </c>
      <c r="BJ128">
        <v>0.33700000000000002</v>
      </c>
      <c r="BK128">
        <v>-29.363</v>
      </c>
      <c r="BL128">
        <v>361.94900000000001</v>
      </c>
      <c r="BM128">
        <v>383.108</v>
      </c>
      <c r="BN128">
        <v>21.346</v>
      </c>
      <c r="BO128">
        <v>340.541</v>
      </c>
      <c r="BP128">
        <v>383.108</v>
      </c>
      <c r="BQ128">
        <v>1059.4590000000001</v>
      </c>
      <c r="BR128">
        <v>1021.622</v>
      </c>
      <c r="BS128">
        <v>83.644000000000005</v>
      </c>
      <c r="BT128">
        <v>1021.622</v>
      </c>
      <c r="BU128">
        <v>1277.027</v>
      </c>
      <c r="BV128">
        <v>3597.3330000000001</v>
      </c>
      <c r="BW128">
        <v>3575.6759999999999</v>
      </c>
      <c r="BX128">
        <v>113.6</v>
      </c>
      <c r="BY128">
        <v>3235.1350000000002</v>
      </c>
      <c r="BZ128">
        <v>4086.4859999999999</v>
      </c>
      <c r="CA128">
        <v>4.04</v>
      </c>
      <c r="CB128">
        <v>9</v>
      </c>
      <c r="CC128">
        <v>0</v>
      </c>
      <c r="CD128">
        <v>0</v>
      </c>
      <c r="CE128">
        <v>6</v>
      </c>
      <c r="CF128">
        <v>4</v>
      </c>
    </row>
    <row r="129" spans="1:84" x14ac:dyDescent="0.35">
      <c r="A129" t="s">
        <v>173</v>
      </c>
      <c r="B129" t="str">
        <f t="shared" si="8"/>
        <v xml:space="preserve"> sa_pa_2005_06_03_918</v>
      </c>
      <c r="C129" s="1">
        <f t="shared" si="7"/>
        <v>45752</v>
      </c>
      <c r="D129" t="s">
        <v>78</v>
      </c>
      <c r="E129">
        <v>188.01400000000001</v>
      </c>
      <c r="F129">
        <v>187.66</v>
      </c>
      <c r="G129">
        <v>3.9670000000000001</v>
      </c>
      <c r="H129">
        <v>182.55500000000001</v>
      </c>
      <c r="I129">
        <v>6.6225165562913912E-2</v>
      </c>
      <c r="J129">
        <v>220.815</v>
      </c>
      <c r="K129">
        <v>7.2847682119205294E-3</v>
      </c>
      <c r="L129">
        <v>0.46300000000000002</v>
      </c>
      <c r="M129">
        <v>-21.69</v>
      </c>
      <c r="N129">
        <v>774.95399999999995</v>
      </c>
      <c r="O129">
        <v>768.923</v>
      </c>
      <c r="P129">
        <v>36.570999999999998</v>
      </c>
      <c r="Q129">
        <v>678.46199999999999</v>
      </c>
      <c r="R129">
        <v>1040.308</v>
      </c>
      <c r="S129">
        <v>1403.5039999999999</v>
      </c>
      <c r="T129">
        <v>1447.385</v>
      </c>
      <c r="U129">
        <v>121.63800000000001</v>
      </c>
      <c r="V129">
        <v>1085.538</v>
      </c>
      <c r="W129">
        <v>1583.077</v>
      </c>
      <c r="X129">
        <v>2525.5520000000001</v>
      </c>
      <c r="Y129">
        <v>2532.9229999999998</v>
      </c>
      <c r="Z129">
        <v>84.022999999999996</v>
      </c>
      <c r="AA129">
        <v>2216.308</v>
      </c>
      <c r="AB129">
        <v>2668.6149999999998</v>
      </c>
      <c r="AC129">
        <v>3.02</v>
      </c>
      <c r="AD129">
        <v>190.166</v>
      </c>
      <c r="AE129">
        <v>189.619</v>
      </c>
      <c r="AF129">
        <v>6.2969999999999997</v>
      </c>
      <c r="AG129">
        <v>183.096</v>
      </c>
      <c r="AH129">
        <v>0.48653846153846148</v>
      </c>
      <c r="AI129">
        <v>241.36</v>
      </c>
      <c r="AJ129">
        <v>0</v>
      </c>
      <c r="AK129">
        <v>0.56699999999999995</v>
      </c>
      <c r="AL129">
        <v>-28.591000000000001</v>
      </c>
      <c r="AM129">
        <v>319.52199999999999</v>
      </c>
      <c r="AN129">
        <v>318.24700000000001</v>
      </c>
      <c r="AO129">
        <v>14.59</v>
      </c>
      <c r="AP129">
        <v>272.78399999999999</v>
      </c>
      <c r="AQ129">
        <v>363.71100000000001</v>
      </c>
      <c r="AR129">
        <v>2535.75</v>
      </c>
      <c r="AS129">
        <v>2545.9789999999998</v>
      </c>
      <c r="AT129">
        <v>45.161000000000001</v>
      </c>
      <c r="AU129">
        <v>2409.5880000000002</v>
      </c>
      <c r="AV129">
        <v>2591.4430000000002</v>
      </c>
      <c r="AW129">
        <v>3270.2930000000001</v>
      </c>
      <c r="AX129">
        <v>3273.402</v>
      </c>
      <c r="AY129">
        <v>360.79599999999999</v>
      </c>
      <c r="AZ129">
        <v>2727.835</v>
      </c>
      <c r="BA129">
        <v>4000.8249999999998</v>
      </c>
      <c r="BB129">
        <v>2.6</v>
      </c>
      <c r="BC129">
        <v>193.93299999999999</v>
      </c>
      <c r="BD129">
        <v>193.90700000000001</v>
      </c>
      <c r="BE129">
        <v>4.3559999999999999</v>
      </c>
      <c r="BF129">
        <v>173.62200000000001</v>
      </c>
      <c r="BG129">
        <v>0</v>
      </c>
      <c r="BH129">
        <v>219.40299999999999</v>
      </c>
      <c r="BI129">
        <v>0.97370129870129873</v>
      </c>
      <c r="BJ129">
        <v>0.53200000000000003</v>
      </c>
      <c r="BK129">
        <v>-29.704999999999998</v>
      </c>
      <c r="BL129">
        <v>414.71899999999999</v>
      </c>
      <c r="BM129">
        <v>417.35</v>
      </c>
      <c r="BN129">
        <v>25.861999999999998</v>
      </c>
      <c r="BO129">
        <v>278.233</v>
      </c>
      <c r="BP129">
        <v>463.72199999999998</v>
      </c>
      <c r="BQ129">
        <v>966.24599999999998</v>
      </c>
      <c r="BR129">
        <v>927.44500000000005</v>
      </c>
      <c r="BS129">
        <v>64.441000000000003</v>
      </c>
      <c r="BT129">
        <v>927.44500000000005</v>
      </c>
      <c r="BU129">
        <v>1298.423</v>
      </c>
      <c r="BV129">
        <v>3738.3919999999998</v>
      </c>
      <c r="BW129">
        <v>3756.1509999999998</v>
      </c>
      <c r="BX129">
        <v>377.20499999999998</v>
      </c>
      <c r="BY129">
        <v>2504.1010000000001</v>
      </c>
      <c r="BZ129">
        <v>4405.3630000000003</v>
      </c>
      <c r="CA129">
        <v>3.08</v>
      </c>
      <c r="CB129">
        <v>7</v>
      </c>
      <c r="CC129">
        <v>1</v>
      </c>
      <c r="CD129">
        <v>0</v>
      </c>
      <c r="CE129">
        <v>4</v>
      </c>
      <c r="CF129">
        <v>5</v>
      </c>
    </row>
    <row r="130" spans="1:84" x14ac:dyDescent="0.35">
      <c r="A130" t="s">
        <v>197</v>
      </c>
      <c r="B130" t="str">
        <f>_xlfn.TEXTBEFORE(_xlfn.TEXTAFTER(A130,"-"),"_ONLY_VOWELS")</f>
        <v xml:space="preserve"> se_co_1998_04_24_910</v>
      </c>
      <c r="C130" s="1">
        <f t="shared" ref="C130:C142" si="9">DATEVALUE(SUBSTITUTE(_xlfn.TEXTAFTER(_xlfn.TEXTBEFORE(A130," -"),"a2_"),"_","/"))</f>
        <v>45754</v>
      </c>
      <c r="D130" t="s">
        <v>78</v>
      </c>
      <c r="E130">
        <v>202.852</v>
      </c>
      <c r="F130">
        <v>203.36</v>
      </c>
      <c r="G130">
        <v>7.976</v>
      </c>
      <c r="H130">
        <v>114.038</v>
      </c>
      <c r="I130">
        <v>7.191780821917809E-3</v>
      </c>
      <c r="J130">
        <v>221.92699999999999</v>
      </c>
      <c r="K130">
        <v>0</v>
      </c>
      <c r="L130">
        <v>1.5429999999999999</v>
      </c>
      <c r="M130">
        <v>-22.460999999999999</v>
      </c>
      <c r="N130">
        <v>1019.437</v>
      </c>
      <c r="O130">
        <v>1026.7180000000001</v>
      </c>
      <c r="P130">
        <v>62.375</v>
      </c>
      <c r="Q130">
        <v>488.91399999999999</v>
      </c>
      <c r="R130">
        <v>1075.6099999999999</v>
      </c>
      <c r="S130">
        <v>1191.077</v>
      </c>
      <c r="T130">
        <v>1173.3920000000001</v>
      </c>
      <c r="U130">
        <v>26.954999999999998</v>
      </c>
      <c r="V130">
        <v>1124.501</v>
      </c>
      <c r="W130">
        <v>1271.175</v>
      </c>
      <c r="X130">
        <v>2540.9630000000002</v>
      </c>
      <c r="Y130">
        <v>2542.35</v>
      </c>
      <c r="Z130">
        <v>66.355999999999995</v>
      </c>
      <c r="AA130">
        <v>2444.5680000000002</v>
      </c>
      <c r="AB130">
        <v>2786.8069999999998</v>
      </c>
      <c r="AC130">
        <v>2.92</v>
      </c>
      <c r="AD130">
        <v>218.17500000000001</v>
      </c>
      <c r="AE130">
        <v>215.72300000000001</v>
      </c>
      <c r="AF130">
        <v>14.717000000000001</v>
      </c>
      <c r="AG130">
        <v>186.30099999999999</v>
      </c>
      <c r="AH130">
        <v>0.98310344827586205</v>
      </c>
      <c r="AI130">
        <v>315</v>
      </c>
      <c r="AJ130">
        <v>0</v>
      </c>
      <c r="AK130">
        <v>0.68500000000000005</v>
      </c>
      <c r="AL130">
        <v>-28.238</v>
      </c>
      <c r="AM130">
        <v>316.24799999999999</v>
      </c>
      <c r="AN130">
        <v>315.75200000000001</v>
      </c>
      <c r="AO130">
        <v>23.529</v>
      </c>
      <c r="AP130">
        <v>263.12599999999998</v>
      </c>
      <c r="AQ130">
        <v>473.62799999999999</v>
      </c>
      <c r="AR130">
        <v>2252.7809999999999</v>
      </c>
      <c r="AS130">
        <v>2262.8879999999999</v>
      </c>
      <c r="AT130">
        <v>74.600999999999999</v>
      </c>
      <c r="AU130">
        <v>1578.759</v>
      </c>
      <c r="AV130">
        <v>2315.5129999999999</v>
      </c>
      <c r="AW130">
        <v>3470.83</v>
      </c>
      <c r="AX130">
        <v>3473.27</v>
      </c>
      <c r="AY130">
        <v>97.858000000000004</v>
      </c>
      <c r="AZ130">
        <v>3157.518</v>
      </c>
      <c r="BA130">
        <v>3683.7710000000002</v>
      </c>
      <c r="BB130">
        <v>2.9</v>
      </c>
      <c r="BC130">
        <v>215.113</v>
      </c>
      <c r="BD130">
        <v>218.626</v>
      </c>
      <c r="BE130">
        <v>19.46</v>
      </c>
      <c r="BF130">
        <v>112.214</v>
      </c>
      <c r="BG130">
        <v>0</v>
      </c>
      <c r="BH130">
        <v>235.82900000000001</v>
      </c>
      <c r="BI130">
        <v>2.5328947368421052E-2</v>
      </c>
      <c r="BJ130">
        <v>3.12</v>
      </c>
      <c r="BK130">
        <v>-26.768000000000001</v>
      </c>
      <c r="BL130">
        <v>386.73599999999999</v>
      </c>
      <c r="BM130">
        <v>365.32499999999999</v>
      </c>
      <c r="BN130">
        <v>32.401000000000003</v>
      </c>
      <c r="BO130">
        <v>365.32499999999999</v>
      </c>
      <c r="BP130">
        <v>574.08299999999997</v>
      </c>
      <c r="BQ130">
        <v>1187.6600000000001</v>
      </c>
      <c r="BR130">
        <v>1200.355</v>
      </c>
      <c r="BS130">
        <v>90.18</v>
      </c>
      <c r="BT130">
        <v>991.59799999999996</v>
      </c>
      <c r="BU130">
        <v>1513.491</v>
      </c>
      <c r="BV130">
        <v>3673.1990000000001</v>
      </c>
      <c r="BW130">
        <v>3653.2539999999999</v>
      </c>
      <c r="BX130">
        <v>109.367</v>
      </c>
      <c r="BY130">
        <v>3287.9290000000001</v>
      </c>
      <c r="BZ130">
        <v>4122.9589999999998</v>
      </c>
      <c r="CA130">
        <v>3.04</v>
      </c>
      <c r="CB130">
        <v>1</v>
      </c>
      <c r="CC130">
        <v>1</v>
      </c>
      <c r="CD130">
        <v>0</v>
      </c>
      <c r="CE130">
        <v>1</v>
      </c>
      <c r="CF130">
        <v>0</v>
      </c>
    </row>
    <row r="131" spans="1:84" x14ac:dyDescent="0.35">
      <c r="A131" t="s">
        <v>217</v>
      </c>
      <c r="B131" t="str">
        <f t="shared" ref="B131:B142" si="10">_xlfn.TEXTAFTER(A131,"-")</f>
        <v xml:space="preserve"> si_co_2002_08_13_884</v>
      </c>
      <c r="C131" s="1">
        <f t="shared" si="9"/>
        <v>45747</v>
      </c>
      <c r="D131" t="s">
        <v>78</v>
      </c>
      <c r="E131">
        <v>201.32300000000001</v>
      </c>
      <c r="F131">
        <v>200.977</v>
      </c>
      <c r="G131">
        <v>2.8759999999999999</v>
      </c>
      <c r="H131">
        <v>195.50299999999999</v>
      </c>
      <c r="I131">
        <v>9.3706293706293714E-2</v>
      </c>
      <c r="J131">
        <v>216.78399999999999</v>
      </c>
      <c r="K131">
        <v>0</v>
      </c>
      <c r="L131">
        <v>0.496</v>
      </c>
      <c r="M131">
        <v>-20.122</v>
      </c>
      <c r="N131">
        <v>837.44500000000005</v>
      </c>
      <c r="O131">
        <v>829.31399999999996</v>
      </c>
      <c r="P131">
        <v>75.846000000000004</v>
      </c>
      <c r="Q131">
        <v>682.96500000000003</v>
      </c>
      <c r="R131">
        <v>1073.23</v>
      </c>
      <c r="S131">
        <v>1164.787</v>
      </c>
      <c r="T131">
        <v>1170.796</v>
      </c>
      <c r="U131">
        <v>62.225999999999999</v>
      </c>
      <c r="V131">
        <v>1073.23</v>
      </c>
      <c r="W131">
        <v>1512.279</v>
      </c>
      <c r="X131">
        <v>3113.64</v>
      </c>
      <c r="Y131">
        <v>3073.3409999999999</v>
      </c>
      <c r="Z131">
        <v>235.17099999999999</v>
      </c>
      <c r="AA131">
        <v>2683.0749999999998</v>
      </c>
      <c r="AB131">
        <v>4829.5349999999999</v>
      </c>
      <c r="AC131">
        <v>2.86</v>
      </c>
      <c r="AD131">
        <v>206.94499999999999</v>
      </c>
      <c r="AE131">
        <v>205.595</v>
      </c>
      <c r="AF131">
        <v>5.8570000000000002</v>
      </c>
      <c r="AG131">
        <v>202.69200000000001</v>
      </c>
      <c r="AH131">
        <v>0.11991525423728813</v>
      </c>
      <c r="AI131">
        <v>257.89499999999998</v>
      </c>
      <c r="AJ131">
        <v>0</v>
      </c>
      <c r="AK131">
        <v>0.47099999999999997</v>
      </c>
      <c r="AL131">
        <v>-28.343</v>
      </c>
      <c r="AM131">
        <v>380.60300000000001</v>
      </c>
      <c r="AN131">
        <v>400</v>
      </c>
      <c r="AO131">
        <v>24.47</v>
      </c>
      <c r="AP131">
        <v>350</v>
      </c>
      <c r="AQ131">
        <v>400</v>
      </c>
      <c r="AR131">
        <v>2404.7620000000002</v>
      </c>
      <c r="AS131">
        <v>2400</v>
      </c>
      <c r="AT131">
        <v>65.97</v>
      </c>
      <c r="AU131">
        <v>2200</v>
      </c>
      <c r="AV131">
        <v>2550</v>
      </c>
      <c r="AW131">
        <v>3547.8449999999998</v>
      </c>
      <c r="AX131">
        <v>3600</v>
      </c>
      <c r="AY131">
        <v>183.61</v>
      </c>
      <c r="AZ131">
        <v>3100</v>
      </c>
      <c r="BA131">
        <v>3950</v>
      </c>
      <c r="BB131">
        <v>2.36</v>
      </c>
      <c r="BC131">
        <v>211.75</v>
      </c>
      <c r="BD131">
        <v>211.29400000000001</v>
      </c>
      <c r="BE131">
        <v>6.1959999999999997</v>
      </c>
      <c r="BF131">
        <v>200.065</v>
      </c>
      <c r="BG131">
        <v>0.9991735537190084</v>
      </c>
      <c r="BH131">
        <v>258.54300000000001</v>
      </c>
      <c r="BI131">
        <v>8.2644628099173556E-3</v>
      </c>
      <c r="BJ131">
        <v>0.63800000000000001</v>
      </c>
      <c r="BK131">
        <v>-30.651</v>
      </c>
      <c r="BL131">
        <v>431.10199999999998</v>
      </c>
      <c r="BM131">
        <v>406.92</v>
      </c>
      <c r="BN131">
        <v>26.331</v>
      </c>
      <c r="BO131">
        <v>406.92</v>
      </c>
      <c r="BP131">
        <v>508.65100000000001</v>
      </c>
      <c r="BQ131">
        <v>1008.325</v>
      </c>
      <c r="BR131">
        <v>966.43600000000004</v>
      </c>
      <c r="BS131">
        <v>90.34</v>
      </c>
      <c r="BT131">
        <v>966.43600000000004</v>
      </c>
      <c r="BU131">
        <v>1322.491</v>
      </c>
      <c r="BV131">
        <v>3671.873</v>
      </c>
      <c r="BW131">
        <v>3713.1489999999999</v>
      </c>
      <c r="BX131">
        <v>257.73500000000001</v>
      </c>
      <c r="BY131">
        <v>2950.1729999999998</v>
      </c>
      <c r="BZ131">
        <v>4120.0690000000004</v>
      </c>
      <c r="CA131">
        <v>2.42</v>
      </c>
      <c r="CB131">
        <v>4</v>
      </c>
      <c r="CC131">
        <v>3</v>
      </c>
      <c r="CD131">
        <v>0</v>
      </c>
      <c r="CE131">
        <v>0</v>
      </c>
      <c r="CF131">
        <v>0</v>
      </c>
    </row>
    <row r="132" spans="1:84" x14ac:dyDescent="0.35">
      <c r="A132" t="s">
        <v>174</v>
      </c>
      <c r="B132" t="str">
        <f t="shared" si="10"/>
        <v xml:space="preserve"> so_fa_1999_11_16_426</v>
      </c>
      <c r="C132" s="1">
        <f t="shared" si="9"/>
        <v>45752</v>
      </c>
      <c r="D132" t="s">
        <v>78</v>
      </c>
      <c r="E132">
        <v>156.191</v>
      </c>
      <c r="F132">
        <v>155.90899999999999</v>
      </c>
      <c r="G132">
        <v>2.766</v>
      </c>
      <c r="H132">
        <v>152.06899999999999</v>
      </c>
      <c r="I132">
        <v>0.20316455696202532</v>
      </c>
      <c r="J132">
        <v>166.95500000000001</v>
      </c>
      <c r="K132">
        <v>1.2658227848101266E-2</v>
      </c>
      <c r="L132">
        <v>0.45900000000000002</v>
      </c>
      <c r="M132">
        <v>-19.082999999999998</v>
      </c>
      <c r="N132">
        <v>796.88800000000003</v>
      </c>
      <c r="O132">
        <v>799.452</v>
      </c>
      <c r="P132">
        <v>34.201999999999998</v>
      </c>
      <c r="Q132">
        <v>669.30899999999997</v>
      </c>
      <c r="R132">
        <v>855.22799999999995</v>
      </c>
      <c r="S132">
        <v>1145.646</v>
      </c>
      <c r="T132">
        <v>1152.6980000000001</v>
      </c>
      <c r="U132">
        <v>30.722999999999999</v>
      </c>
      <c r="V132">
        <v>1078.3309999999999</v>
      </c>
      <c r="W132">
        <v>1227.066</v>
      </c>
      <c r="X132">
        <v>2287.4450000000002</v>
      </c>
      <c r="Y132">
        <v>2268.212</v>
      </c>
      <c r="Z132">
        <v>53.155000000000001</v>
      </c>
      <c r="AA132">
        <v>2193.8449999999998</v>
      </c>
      <c r="AB132">
        <v>2416.9479999999999</v>
      </c>
      <c r="AC132">
        <v>1.58</v>
      </c>
      <c r="AD132">
        <v>170.392</v>
      </c>
      <c r="AE132">
        <v>167.40799999999999</v>
      </c>
      <c r="AF132">
        <v>15.087999999999999</v>
      </c>
      <c r="AG132">
        <v>159.94800000000001</v>
      </c>
      <c r="AH132">
        <v>0.97533333333333339</v>
      </c>
      <c r="AI132">
        <v>275.625</v>
      </c>
      <c r="AJ132">
        <v>0</v>
      </c>
      <c r="AK132">
        <v>1.0529999999999999</v>
      </c>
      <c r="AL132">
        <v>-28.956</v>
      </c>
      <c r="AM132">
        <v>327.49099999999999</v>
      </c>
      <c r="AN132">
        <v>328.18599999999998</v>
      </c>
      <c r="AO132">
        <v>12.023999999999999</v>
      </c>
      <c r="AP132">
        <v>287.16300000000001</v>
      </c>
      <c r="AQ132">
        <v>369.209</v>
      </c>
      <c r="AR132">
        <v>1599.9069999999999</v>
      </c>
      <c r="AS132">
        <v>1599.9069999999999</v>
      </c>
      <c r="AT132">
        <v>0</v>
      </c>
      <c r="AU132">
        <v>1599.9069999999999</v>
      </c>
      <c r="AV132">
        <v>1599.9069999999999</v>
      </c>
      <c r="AW132">
        <v>4084.549</v>
      </c>
      <c r="AX132">
        <v>4102.326</v>
      </c>
      <c r="AY132">
        <v>173.45</v>
      </c>
      <c r="AZ132">
        <v>3322.884</v>
      </c>
      <c r="BA132">
        <v>4307.442</v>
      </c>
      <c r="BB132">
        <v>1.5</v>
      </c>
      <c r="BC132">
        <v>171.203</v>
      </c>
      <c r="BD132">
        <v>165.65600000000001</v>
      </c>
      <c r="BE132">
        <v>12.323</v>
      </c>
      <c r="BF132">
        <v>162.90199999999999</v>
      </c>
      <c r="BG132">
        <v>0.71849315068493147</v>
      </c>
      <c r="BH132">
        <v>234.93199999999999</v>
      </c>
      <c r="BI132">
        <v>0</v>
      </c>
      <c r="BJ132">
        <v>0.88900000000000001</v>
      </c>
      <c r="BK132">
        <v>-29.905999999999999</v>
      </c>
      <c r="BL132">
        <v>366.82100000000003</v>
      </c>
      <c r="BM132">
        <v>366.82100000000003</v>
      </c>
      <c r="BN132">
        <v>15.404999999999999</v>
      </c>
      <c r="BO132">
        <v>326.06299999999999</v>
      </c>
      <c r="BP132">
        <v>448.33600000000001</v>
      </c>
      <c r="BQ132">
        <v>977.38900000000001</v>
      </c>
      <c r="BR132">
        <v>978.18899999999996</v>
      </c>
      <c r="BS132">
        <v>12.863</v>
      </c>
      <c r="BT132">
        <v>937.43100000000004</v>
      </c>
      <c r="BU132">
        <v>1018.946</v>
      </c>
      <c r="BV132">
        <v>3879.7260000000001</v>
      </c>
      <c r="BW132">
        <v>3912.7539999999999</v>
      </c>
      <c r="BX132">
        <v>229.09800000000001</v>
      </c>
      <c r="BY132">
        <v>2812.2919999999999</v>
      </c>
      <c r="BZ132">
        <v>4198.0590000000002</v>
      </c>
      <c r="CA132">
        <v>1.46</v>
      </c>
      <c r="CB132">
        <v>6</v>
      </c>
      <c r="CC132">
        <v>0</v>
      </c>
      <c r="CD132">
        <v>0</v>
      </c>
      <c r="CE132">
        <v>2</v>
      </c>
      <c r="CF132">
        <v>0</v>
      </c>
    </row>
    <row r="133" spans="1:84" x14ac:dyDescent="0.35">
      <c r="A133" t="s">
        <v>133</v>
      </c>
      <c r="B133" t="str">
        <f t="shared" si="10"/>
        <v xml:space="preserve"> so_nu_2005_03_11_255</v>
      </c>
      <c r="C133" s="1">
        <f t="shared" si="9"/>
        <v>45720</v>
      </c>
      <c r="D133" t="s">
        <v>78</v>
      </c>
      <c r="E133">
        <v>173.952</v>
      </c>
      <c r="F133">
        <v>173.476</v>
      </c>
      <c r="G133">
        <v>4.1630000000000003</v>
      </c>
      <c r="H133">
        <v>167.59</v>
      </c>
      <c r="I133">
        <v>0.79080459770114941</v>
      </c>
      <c r="J133">
        <v>205.25299999999999</v>
      </c>
      <c r="K133">
        <v>0</v>
      </c>
      <c r="L133">
        <v>0.59899999999999998</v>
      </c>
      <c r="M133">
        <v>-20.478999999999999</v>
      </c>
      <c r="N133">
        <v>961.34100000000001</v>
      </c>
      <c r="O133">
        <v>959.60299999999995</v>
      </c>
      <c r="P133">
        <v>44.646000000000001</v>
      </c>
      <c r="Q133">
        <v>709.27200000000005</v>
      </c>
      <c r="R133">
        <v>1043.046</v>
      </c>
      <c r="S133">
        <v>1094.04</v>
      </c>
      <c r="T133">
        <v>1084.768</v>
      </c>
      <c r="U133">
        <v>22.849</v>
      </c>
      <c r="V133">
        <v>1043.046</v>
      </c>
      <c r="W133">
        <v>1168.212</v>
      </c>
      <c r="X133">
        <v>3227.9389999999999</v>
      </c>
      <c r="Y133">
        <v>3254.3049999999998</v>
      </c>
      <c r="Z133">
        <v>174.57</v>
      </c>
      <c r="AA133">
        <v>2628.4769999999999</v>
      </c>
      <c r="AB133">
        <v>3546.3580000000002</v>
      </c>
      <c r="AC133">
        <v>3.48</v>
      </c>
      <c r="AD133">
        <v>172.87299999999999</v>
      </c>
      <c r="AE133">
        <v>172.458</v>
      </c>
      <c r="AF133">
        <v>3.8010000000000002</v>
      </c>
      <c r="AG133">
        <v>164.37700000000001</v>
      </c>
      <c r="AH133">
        <v>0.82090909090909092</v>
      </c>
      <c r="AI133">
        <v>200.45500000000001</v>
      </c>
      <c r="AJ133">
        <v>6.0606060606060615E-3</v>
      </c>
      <c r="AK133">
        <v>0.64700000000000002</v>
      </c>
      <c r="AL133">
        <v>-28.774000000000001</v>
      </c>
      <c r="AM133">
        <v>330.642</v>
      </c>
      <c r="AN133">
        <v>329.72</v>
      </c>
      <c r="AO133">
        <v>6.12</v>
      </c>
      <c r="AP133">
        <v>329.72</v>
      </c>
      <c r="AQ133">
        <v>370.935</v>
      </c>
      <c r="AR133">
        <v>2571.8130000000001</v>
      </c>
      <c r="AS133">
        <v>2596.5419999999999</v>
      </c>
      <c r="AT133">
        <v>62.506</v>
      </c>
      <c r="AU133">
        <v>2472.8969999999999</v>
      </c>
      <c r="AV133">
        <v>2637.7570000000001</v>
      </c>
      <c r="AW133">
        <v>3170.1930000000002</v>
      </c>
      <c r="AX133">
        <v>3132.3359999999998</v>
      </c>
      <c r="AY133">
        <v>183.84</v>
      </c>
      <c r="AZ133">
        <v>2885.047</v>
      </c>
      <c r="BA133">
        <v>3668.1309999999999</v>
      </c>
      <c r="BB133">
        <v>3.3</v>
      </c>
      <c r="BC133">
        <v>175.20099999999999</v>
      </c>
      <c r="BD133">
        <v>174.21</v>
      </c>
      <c r="BE133">
        <v>3.9409999999999998</v>
      </c>
      <c r="BF133">
        <v>170.83600000000001</v>
      </c>
      <c r="BG133">
        <v>0.63088235294117645</v>
      </c>
      <c r="BH133">
        <v>195.50299999999999</v>
      </c>
      <c r="BI133">
        <v>7.058823529411765E-3</v>
      </c>
      <c r="BJ133">
        <v>0.48099999999999998</v>
      </c>
      <c r="BK133">
        <v>-29.524000000000001</v>
      </c>
      <c r="BL133">
        <v>367.315</v>
      </c>
      <c r="BM133">
        <v>376.209</v>
      </c>
      <c r="BN133">
        <v>19.225999999999999</v>
      </c>
      <c r="BO133">
        <v>334.40800000000002</v>
      </c>
      <c r="BP133">
        <v>459.81</v>
      </c>
      <c r="BV133">
        <v>3379.6509999999998</v>
      </c>
      <c r="BW133">
        <v>3385.877</v>
      </c>
      <c r="BX133">
        <v>89.921999999999997</v>
      </c>
      <c r="BY133">
        <v>3176.8719999999998</v>
      </c>
      <c r="BZ133">
        <v>3762.085</v>
      </c>
      <c r="CA133">
        <v>3.4</v>
      </c>
      <c r="CB133">
        <v>1</v>
      </c>
      <c r="CC133">
        <v>0</v>
      </c>
      <c r="CD133">
        <v>0</v>
      </c>
      <c r="CE133">
        <v>0</v>
      </c>
      <c r="CF133">
        <v>0</v>
      </c>
    </row>
    <row r="134" spans="1:84" x14ac:dyDescent="0.35">
      <c r="A134" t="s">
        <v>175</v>
      </c>
      <c r="B134" t="str">
        <f t="shared" si="10"/>
        <v xml:space="preserve"> so_pa_2005_04_02_152</v>
      </c>
      <c r="C134" s="1">
        <f t="shared" si="9"/>
        <v>45752</v>
      </c>
      <c r="D134" t="s">
        <v>78</v>
      </c>
      <c r="E134">
        <v>189.24199999999999</v>
      </c>
      <c r="F134">
        <v>188.46199999999999</v>
      </c>
      <c r="G134">
        <v>4.7759999999999998</v>
      </c>
      <c r="H134">
        <v>183.31399999999999</v>
      </c>
      <c r="I134">
        <v>8.1967213114754103E-3</v>
      </c>
      <c r="J134">
        <v>230.20099999999999</v>
      </c>
      <c r="K134">
        <v>1.7213114754098362E-2</v>
      </c>
      <c r="L134">
        <v>0.84599999999999997</v>
      </c>
      <c r="M134">
        <v>-21.036999999999999</v>
      </c>
      <c r="N134">
        <v>763.755</v>
      </c>
      <c r="O134">
        <v>773.68399999999997</v>
      </c>
      <c r="P134">
        <v>74.075000000000003</v>
      </c>
      <c r="Q134">
        <v>637.15200000000004</v>
      </c>
      <c r="R134">
        <v>1137.771</v>
      </c>
      <c r="S134">
        <v>1263.546</v>
      </c>
      <c r="T134">
        <v>1274.3030000000001</v>
      </c>
      <c r="U134">
        <v>50.433</v>
      </c>
      <c r="V134">
        <v>1137.771</v>
      </c>
      <c r="W134">
        <v>1365.325</v>
      </c>
      <c r="X134">
        <v>2870.4929999999999</v>
      </c>
      <c r="Y134">
        <v>2844.4270000000001</v>
      </c>
      <c r="Z134">
        <v>237.7</v>
      </c>
      <c r="AA134">
        <v>2548.607</v>
      </c>
      <c r="AB134">
        <v>4141.4859999999999</v>
      </c>
      <c r="AC134">
        <v>2.44</v>
      </c>
      <c r="AD134">
        <v>193.27</v>
      </c>
      <c r="AE134">
        <v>191.739</v>
      </c>
      <c r="AF134">
        <v>5.3319999999999999</v>
      </c>
      <c r="AG134">
        <v>183.53200000000001</v>
      </c>
      <c r="AH134">
        <v>0.99033613445378166</v>
      </c>
      <c r="AI134">
        <v>225</v>
      </c>
      <c r="AJ134">
        <v>8.4033613445378165E-3</v>
      </c>
      <c r="AK134">
        <v>0.51100000000000001</v>
      </c>
      <c r="AL134">
        <v>-28.695</v>
      </c>
      <c r="AM134">
        <v>321.23399999999998</v>
      </c>
      <c r="AN134">
        <v>323.58499999999998</v>
      </c>
      <c r="AO134">
        <v>10.242000000000001</v>
      </c>
      <c r="AP134">
        <v>277.358</v>
      </c>
      <c r="AQ134">
        <v>323.58499999999998</v>
      </c>
      <c r="AR134">
        <v>1386.7919999999999</v>
      </c>
      <c r="AS134">
        <v>1386.7919999999999</v>
      </c>
      <c r="AT134">
        <v>0</v>
      </c>
      <c r="AU134">
        <v>1386.7919999999999</v>
      </c>
      <c r="AV134">
        <v>1386.7919999999999</v>
      </c>
      <c r="AW134">
        <v>3867.3270000000002</v>
      </c>
      <c r="AX134">
        <v>3883.0189999999998</v>
      </c>
      <c r="AY134">
        <v>115.34699999999999</v>
      </c>
      <c r="AZ134">
        <v>3466.9810000000002</v>
      </c>
      <c r="BA134">
        <v>4114.1509999999998</v>
      </c>
      <c r="BB134">
        <v>2.38</v>
      </c>
      <c r="BC134">
        <v>197.1</v>
      </c>
      <c r="BD134">
        <v>193.90700000000001</v>
      </c>
      <c r="BE134">
        <v>15.33</v>
      </c>
      <c r="BF134">
        <v>190.203</v>
      </c>
      <c r="BG134">
        <v>0.76512605042016812</v>
      </c>
      <c r="BH134">
        <v>302.05500000000001</v>
      </c>
      <c r="BI134">
        <v>8.4033613445378165E-3</v>
      </c>
      <c r="BJ134">
        <v>0.80500000000000005</v>
      </c>
      <c r="BK134">
        <v>-29.071000000000002</v>
      </c>
      <c r="BL134">
        <v>332.96100000000001</v>
      </c>
      <c r="BM134">
        <v>329.45600000000002</v>
      </c>
      <c r="BN134">
        <v>12.422000000000001</v>
      </c>
      <c r="BO134">
        <v>329.45600000000002</v>
      </c>
      <c r="BP134">
        <v>376.52100000000002</v>
      </c>
      <c r="BQ134">
        <v>1069.751</v>
      </c>
      <c r="BR134">
        <v>1082.4970000000001</v>
      </c>
      <c r="BS134">
        <v>50.865000000000002</v>
      </c>
      <c r="BT134">
        <v>1035.432</v>
      </c>
      <c r="BU134">
        <v>1506.0830000000001</v>
      </c>
      <c r="BV134">
        <v>3512.498</v>
      </c>
      <c r="BW134">
        <v>3482.8180000000002</v>
      </c>
      <c r="BX134">
        <v>172.62799999999999</v>
      </c>
      <c r="BY134">
        <v>3012.1660000000002</v>
      </c>
      <c r="BZ134">
        <v>4000.5340000000001</v>
      </c>
      <c r="CA134">
        <v>2.38</v>
      </c>
      <c r="CB134">
        <v>5</v>
      </c>
      <c r="CC134">
        <v>2</v>
      </c>
      <c r="CD134">
        <v>1</v>
      </c>
      <c r="CE134">
        <v>0</v>
      </c>
      <c r="CF134">
        <v>1</v>
      </c>
    </row>
    <row r="135" spans="1:84" x14ac:dyDescent="0.35">
      <c r="A135" t="s">
        <v>95</v>
      </c>
      <c r="B135" t="str">
        <f t="shared" si="10"/>
        <v xml:space="preserve"> so_ru_2006_02_08_848</v>
      </c>
      <c r="C135" s="1">
        <f t="shared" si="9"/>
        <v>45748</v>
      </c>
      <c r="D135" t="s">
        <v>78</v>
      </c>
      <c r="E135">
        <v>237.88800000000001</v>
      </c>
      <c r="F135">
        <v>237.279</v>
      </c>
      <c r="G135">
        <v>7.556</v>
      </c>
      <c r="H135">
        <v>231.23599999999999</v>
      </c>
      <c r="I135">
        <v>0.98933823529411746</v>
      </c>
      <c r="J135">
        <v>297.97300000000001</v>
      </c>
      <c r="K135">
        <v>0</v>
      </c>
      <c r="L135">
        <v>0.56200000000000006</v>
      </c>
      <c r="M135">
        <v>-22.141999999999999</v>
      </c>
      <c r="N135">
        <v>709.06200000000001</v>
      </c>
      <c r="O135">
        <v>690.86199999999997</v>
      </c>
      <c r="P135">
        <v>87.718999999999994</v>
      </c>
      <c r="Q135">
        <v>518.14599999999996</v>
      </c>
      <c r="R135">
        <v>921.149</v>
      </c>
      <c r="S135">
        <v>1097.229</v>
      </c>
      <c r="T135">
        <v>1093.864</v>
      </c>
      <c r="U135">
        <v>79.870999999999995</v>
      </c>
      <c r="V135">
        <v>978.721</v>
      </c>
      <c r="W135">
        <v>1439.2950000000001</v>
      </c>
      <c r="X135">
        <v>2699.9319999999998</v>
      </c>
      <c r="Y135">
        <v>2705.875</v>
      </c>
      <c r="Z135">
        <v>147.90100000000001</v>
      </c>
      <c r="AA135">
        <v>2245.3000000000002</v>
      </c>
      <c r="AB135">
        <v>3224.0210000000002</v>
      </c>
      <c r="AC135">
        <v>2.72</v>
      </c>
      <c r="AD135">
        <v>252.88399999999999</v>
      </c>
      <c r="AE135">
        <v>252</v>
      </c>
      <c r="AF135">
        <v>4.7080000000000002</v>
      </c>
      <c r="AG135">
        <v>249.35400000000001</v>
      </c>
      <c r="AH135">
        <v>0.86296296296296293</v>
      </c>
      <c r="AI135">
        <v>295.97300000000001</v>
      </c>
      <c r="AJ135">
        <v>0</v>
      </c>
      <c r="AK135">
        <v>0.38900000000000001</v>
      </c>
      <c r="AL135">
        <v>-33.354999999999997</v>
      </c>
      <c r="AM135">
        <v>298.959</v>
      </c>
      <c r="AN135">
        <v>307.96100000000001</v>
      </c>
      <c r="AO135">
        <v>26.69</v>
      </c>
      <c r="AP135">
        <v>246.369</v>
      </c>
      <c r="AQ135">
        <v>431.14499999999998</v>
      </c>
      <c r="AR135">
        <v>2053.0729999999999</v>
      </c>
      <c r="AS135">
        <v>1847.7650000000001</v>
      </c>
      <c r="AT135">
        <v>410.101</v>
      </c>
      <c r="AU135">
        <v>1786.173</v>
      </c>
      <c r="AV135">
        <v>2525.279</v>
      </c>
      <c r="AW135">
        <v>3268.1469999999999</v>
      </c>
      <c r="AX135">
        <v>3264.3850000000002</v>
      </c>
      <c r="AY135">
        <v>229.411</v>
      </c>
      <c r="AZ135">
        <v>2833.24</v>
      </c>
      <c r="BA135">
        <v>4619.4129999999996</v>
      </c>
      <c r="BB135">
        <v>2.16</v>
      </c>
      <c r="BC135">
        <v>258.51499999999999</v>
      </c>
      <c r="BD135">
        <v>259.41199999999998</v>
      </c>
      <c r="BE135">
        <v>4.3040000000000003</v>
      </c>
      <c r="BF135">
        <v>238.74700000000001</v>
      </c>
      <c r="BG135">
        <v>8.4745762711864406E-3</v>
      </c>
      <c r="BH135">
        <v>267.73599999999999</v>
      </c>
      <c r="BI135">
        <v>0.20508474576271188</v>
      </c>
      <c r="BJ135">
        <v>0.78800000000000003</v>
      </c>
      <c r="BK135">
        <v>-24.516999999999999</v>
      </c>
      <c r="BL135">
        <v>400.72899999999998</v>
      </c>
      <c r="BM135">
        <v>377.46100000000001</v>
      </c>
      <c r="BN135">
        <v>50.118000000000002</v>
      </c>
      <c r="BO135">
        <v>251.64099999999999</v>
      </c>
      <c r="BP135">
        <v>566.19100000000003</v>
      </c>
      <c r="BQ135">
        <v>981.72900000000004</v>
      </c>
      <c r="BR135">
        <v>943.65200000000004</v>
      </c>
      <c r="BS135">
        <v>87.194999999999993</v>
      </c>
      <c r="BT135">
        <v>943.65200000000004</v>
      </c>
      <c r="BU135">
        <v>1321.1130000000001</v>
      </c>
      <c r="BV135">
        <v>3385.944</v>
      </c>
      <c r="BW135">
        <v>3397.1469999999999</v>
      </c>
      <c r="BX135">
        <v>238.233</v>
      </c>
      <c r="BY135">
        <v>2642.2249999999999</v>
      </c>
      <c r="BZ135">
        <v>3963.3380000000002</v>
      </c>
      <c r="CA135">
        <v>2.36</v>
      </c>
      <c r="CB135">
        <v>7</v>
      </c>
      <c r="CC135">
        <v>1</v>
      </c>
      <c r="CD135">
        <v>1</v>
      </c>
      <c r="CE135">
        <v>6</v>
      </c>
      <c r="CF135">
        <v>4</v>
      </c>
    </row>
    <row r="136" spans="1:84" x14ac:dyDescent="0.35">
      <c r="A136" t="s">
        <v>195</v>
      </c>
      <c r="B136" t="str">
        <f t="shared" si="10"/>
        <v xml:space="preserve"> so_vi_2004_10_14_130</v>
      </c>
      <c r="C136" s="1">
        <f t="shared" si="9"/>
        <v>45753</v>
      </c>
      <c r="D136" t="s">
        <v>78</v>
      </c>
      <c r="E136">
        <v>184.28899999999999</v>
      </c>
      <c r="F136">
        <v>184.51900000000001</v>
      </c>
      <c r="G136">
        <v>5.6909999999999998</v>
      </c>
      <c r="H136">
        <v>164.72800000000001</v>
      </c>
      <c r="I136">
        <v>3.6774193548387096E-2</v>
      </c>
      <c r="J136">
        <v>210</v>
      </c>
      <c r="K136">
        <v>7.4193548387096768E-3</v>
      </c>
      <c r="L136">
        <v>0.78100000000000003</v>
      </c>
      <c r="M136">
        <v>-28.257000000000001</v>
      </c>
      <c r="N136">
        <v>571.654</v>
      </c>
      <c r="O136">
        <v>529.20000000000005</v>
      </c>
      <c r="P136">
        <v>85.061999999999998</v>
      </c>
      <c r="Q136">
        <v>485.1</v>
      </c>
      <c r="R136">
        <v>1058.4000000000001</v>
      </c>
      <c r="S136">
        <v>1134.5129999999999</v>
      </c>
      <c r="T136">
        <v>1146.5999999999999</v>
      </c>
      <c r="U136">
        <v>62</v>
      </c>
      <c r="V136">
        <v>1014.3</v>
      </c>
      <c r="W136">
        <v>1675.8</v>
      </c>
      <c r="X136">
        <v>3342.127</v>
      </c>
      <c r="Y136">
        <v>3351.6</v>
      </c>
      <c r="Z136">
        <v>159.405</v>
      </c>
      <c r="AA136">
        <v>2998.8</v>
      </c>
      <c r="AB136">
        <v>3704.4</v>
      </c>
      <c r="AC136">
        <v>3.1</v>
      </c>
      <c r="AD136">
        <v>186.946</v>
      </c>
      <c r="AE136">
        <v>186.97800000000001</v>
      </c>
      <c r="AF136">
        <v>9.6560000000000006</v>
      </c>
      <c r="AG136">
        <v>163.941</v>
      </c>
      <c r="AH136">
        <v>3.6693548387096771E-2</v>
      </c>
      <c r="AI136">
        <v>240.98400000000001</v>
      </c>
      <c r="AJ136">
        <v>0</v>
      </c>
      <c r="AK136">
        <v>1.1879999999999999</v>
      </c>
      <c r="AL136">
        <v>-29.978999999999999</v>
      </c>
      <c r="AM136">
        <v>354.40100000000001</v>
      </c>
      <c r="AN136">
        <v>354.93</v>
      </c>
      <c r="AO136">
        <v>14.6</v>
      </c>
      <c r="AP136">
        <v>310.56299999999999</v>
      </c>
      <c r="AQ136">
        <v>443.66199999999998</v>
      </c>
      <c r="AR136">
        <v>2113.5210000000002</v>
      </c>
      <c r="AS136">
        <v>2173.944</v>
      </c>
      <c r="AT136">
        <v>187.23400000000001</v>
      </c>
      <c r="AU136">
        <v>1419.7180000000001</v>
      </c>
      <c r="AV136">
        <v>2351.4079999999999</v>
      </c>
      <c r="AW136">
        <v>3930.2750000000001</v>
      </c>
      <c r="AX136">
        <v>3948.5920000000001</v>
      </c>
      <c r="AY136">
        <v>266.21199999999999</v>
      </c>
      <c r="AZ136">
        <v>2839.4369999999999</v>
      </c>
      <c r="BA136">
        <v>4702.817</v>
      </c>
      <c r="BB136">
        <v>2.48</v>
      </c>
      <c r="BC136">
        <v>201.28899999999999</v>
      </c>
      <c r="BD136">
        <v>200.58500000000001</v>
      </c>
      <c r="BE136">
        <v>6.6769999999999996</v>
      </c>
      <c r="BF136">
        <v>188.34700000000001</v>
      </c>
      <c r="BG136">
        <v>7.6639344262295087E-2</v>
      </c>
      <c r="BH136">
        <v>234.21899999999999</v>
      </c>
      <c r="BI136">
        <v>0.99057377049180317</v>
      </c>
      <c r="BJ136">
        <v>0.90400000000000003</v>
      </c>
      <c r="BK136">
        <v>-30.600999999999999</v>
      </c>
      <c r="BL136">
        <v>345.613</v>
      </c>
      <c r="BM136">
        <v>338.858</v>
      </c>
      <c r="BN136">
        <v>19.873000000000001</v>
      </c>
      <c r="BO136">
        <v>290.45</v>
      </c>
      <c r="BP136">
        <v>387.267</v>
      </c>
      <c r="BQ136">
        <v>1292.751</v>
      </c>
      <c r="BR136">
        <v>1258.617</v>
      </c>
      <c r="BS136">
        <v>93.004000000000005</v>
      </c>
      <c r="BT136">
        <v>1161.8</v>
      </c>
      <c r="BU136">
        <v>1597.4749999999999</v>
      </c>
      <c r="BV136">
        <v>2833.3359999999998</v>
      </c>
      <c r="BW136">
        <v>2807.6840000000002</v>
      </c>
      <c r="BX136">
        <v>199.54900000000001</v>
      </c>
      <c r="BY136">
        <v>2372.009</v>
      </c>
      <c r="BZ136">
        <v>3243.3589999999999</v>
      </c>
      <c r="CA136">
        <v>2.44</v>
      </c>
      <c r="CB136">
        <v>2</v>
      </c>
      <c r="CC136">
        <v>5</v>
      </c>
      <c r="CD136">
        <v>0</v>
      </c>
      <c r="CE136">
        <v>5</v>
      </c>
      <c r="CF136">
        <v>1</v>
      </c>
    </row>
    <row r="137" spans="1:84" x14ac:dyDescent="0.35">
      <c r="A137" t="s">
        <v>109</v>
      </c>
      <c r="B137" t="str">
        <f t="shared" si="10"/>
        <v xml:space="preserve"> so_vi_2006_01_30_222</v>
      </c>
      <c r="C137" s="1">
        <f t="shared" si="9"/>
        <v>45749</v>
      </c>
      <c r="D137" t="s">
        <v>78</v>
      </c>
      <c r="E137">
        <v>177.119</v>
      </c>
      <c r="F137">
        <v>176.602</v>
      </c>
      <c r="G137">
        <v>3.093</v>
      </c>
      <c r="H137">
        <v>173.524</v>
      </c>
      <c r="I137">
        <v>0.80909090909090908</v>
      </c>
      <c r="J137">
        <v>198.13900000000001</v>
      </c>
      <c r="K137">
        <v>0.98409090909090902</v>
      </c>
      <c r="L137">
        <v>0.36799999999999999</v>
      </c>
      <c r="M137">
        <v>-28.074000000000002</v>
      </c>
      <c r="N137">
        <v>335.85300000000001</v>
      </c>
      <c r="O137">
        <v>336.32</v>
      </c>
      <c r="P137">
        <v>4431</v>
      </c>
      <c r="Q137">
        <v>294.27999999999997</v>
      </c>
      <c r="R137">
        <v>336.32</v>
      </c>
      <c r="S137">
        <v>2408.2190000000001</v>
      </c>
      <c r="T137">
        <v>2438.3220000000001</v>
      </c>
      <c r="U137">
        <v>132.98099999999999</v>
      </c>
      <c r="V137">
        <v>1555.481</v>
      </c>
      <c r="W137">
        <v>2564.442</v>
      </c>
      <c r="X137">
        <v>3575.7130000000002</v>
      </c>
      <c r="Y137">
        <v>3573.4029999999998</v>
      </c>
      <c r="Z137">
        <v>125.55200000000001</v>
      </c>
      <c r="AA137">
        <v>3279.123</v>
      </c>
      <c r="AB137">
        <v>3825.643</v>
      </c>
      <c r="AC137">
        <v>2.2000000000000002</v>
      </c>
      <c r="AD137">
        <v>176.80799999999999</v>
      </c>
      <c r="AE137">
        <v>176.4</v>
      </c>
      <c r="AF137">
        <v>2.2200000000000002</v>
      </c>
      <c r="AG137">
        <v>174.30799999999999</v>
      </c>
      <c r="AH137">
        <v>0.54338842975206614</v>
      </c>
      <c r="AI137">
        <v>190.321</v>
      </c>
      <c r="AJ137">
        <v>8.2644628099173556E-3</v>
      </c>
      <c r="AK137">
        <v>0.312</v>
      </c>
      <c r="AL137">
        <v>-28.126999999999999</v>
      </c>
      <c r="AM137">
        <v>337.38400000000001</v>
      </c>
      <c r="AN137">
        <v>336.96300000000002</v>
      </c>
      <c r="AO137">
        <v>4212</v>
      </c>
      <c r="AP137">
        <v>336.96300000000002</v>
      </c>
      <c r="AQ137">
        <v>379.08300000000003</v>
      </c>
      <c r="AR137">
        <v>2397.431</v>
      </c>
      <c r="AS137">
        <v>2421.92</v>
      </c>
      <c r="AT137">
        <v>145.36699999999999</v>
      </c>
      <c r="AU137">
        <v>1853.2950000000001</v>
      </c>
      <c r="AV137">
        <v>2569.3409999999999</v>
      </c>
      <c r="AW137">
        <v>3566.884</v>
      </c>
      <c r="AX137">
        <v>3538.1089999999999</v>
      </c>
      <c r="AY137">
        <v>116.107</v>
      </c>
      <c r="AZ137">
        <v>3285.3870000000002</v>
      </c>
      <c r="BA137">
        <v>3875.0720000000001</v>
      </c>
      <c r="BB137">
        <v>2.42</v>
      </c>
      <c r="BC137">
        <v>176.76400000000001</v>
      </c>
      <c r="BD137">
        <v>176.29900000000001</v>
      </c>
      <c r="BE137">
        <v>2.2080000000000002</v>
      </c>
      <c r="BF137">
        <v>173.524</v>
      </c>
      <c r="BG137">
        <v>0.74916666666666676</v>
      </c>
      <c r="BH137">
        <v>187.66</v>
      </c>
      <c r="BI137">
        <v>0.99958333333333338</v>
      </c>
      <c r="BJ137">
        <v>0.34599999999999997</v>
      </c>
      <c r="BK137">
        <v>-27.965</v>
      </c>
      <c r="BL137">
        <v>336.32</v>
      </c>
      <c r="BM137">
        <v>336.32</v>
      </c>
      <c r="BN137">
        <v>6006</v>
      </c>
      <c r="BO137">
        <v>294.27999999999997</v>
      </c>
      <c r="BP137">
        <v>378.36</v>
      </c>
      <c r="BQ137">
        <v>2469.7370000000001</v>
      </c>
      <c r="BR137">
        <v>2522.402</v>
      </c>
      <c r="BS137">
        <v>144.49299999999999</v>
      </c>
      <c r="BT137">
        <v>1513.441</v>
      </c>
      <c r="BU137">
        <v>2606.482</v>
      </c>
      <c r="BV137">
        <v>3439.7159999999999</v>
      </c>
      <c r="BW137">
        <v>3447.2829999999999</v>
      </c>
      <c r="BX137">
        <v>111.048</v>
      </c>
      <c r="BY137">
        <v>3153.0030000000002</v>
      </c>
      <c r="BZ137">
        <v>3699.5230000000001</v>
      </c>
      <c r="CA137">
        <v>2.4</v>
      </c>
      <c r="CB137">
        <v>8</v>
      </c>
      <c r="CC137">
        <v>2</v>
      </c>
      <c r="CD137">
        <v>0</v>
      </c>
      <c r="CE137">
        <v>1</v>
      </c>
      <c r="CF137">
        <v>0</v>
      </c>
    </row>
    <row r="138" spans="1:84" x14ac:dyDescent="0.35">
      <c r="A138" t="s">
        <v>131</v>
      </c>
      <c r="B138" t="str">
        <f t="shared" si="10"/>
        <v xml:space="preserve"> te_li_2005_06_12_911</v>
      </c>
      <c r="C138" s="1">
        <f t="shared" si="9"/>
        <v>45750</v>
      </c>
      <c r="D138" t="s">
        <v>78</v>
      </c>
      <c r="E138">
        <v>182.852</v>
      </c>
      <c r="F138">
        <v>183.31399999999999</v>
      </c>
      <c r="G138">
        <v>3.3519999999999999</v>
      </c>
      <c r="H138">
        <v>169.05799999999999</v>
      </c>
      <c r="I138">
        <v>5.5454545454545458E-2</v>
      </c>
      <c r="J138">
        <v>193.42099999999999</v>
      </c>
      <c r="K138">
        <v>0.99878787878787878</v>
      </c>
      <c r="L138">
        <v>0.97399999999999998</v>
      </c>
      <c r="M138">
        <v>-22.268000000000001</v>
      </c>
      <c r="N138">
        <v>715.18100000000004</v>
      </c>
      <c r="O138">
        <v>737.16800000000001</v>
      </c>
      <c r="P138">
        <v>26.709</v>
      </c>
      <c r="Q138">
        <v>650.44200000000001</v>
      </c>
      <c r="R138">
        <v>780.53099999999995</v>
      </c>
      <c r="S138">
        <v>1163.3630000000001</v>
      </c>
      <c r="T138">
        <v>1170.796</v>
      </c>
      <c r="U138">
        <v>43.500999999999998</v>
      </c>
      <c r="V138">
        <v>1084.0709999999999</v>
      </c>
      <c r="W138">
        <v>1300.885</v>
      </c>
      <c r="X138">
        <v>2716.59</v>
      </c>
      <c r="Y138">
        <v>2688.4960000000001</v>
      </c>
      <c r="Z138">
        <v>180.47499999999999</v>
      </c>
      <c r="AA138">
        <v>2384.9560000000001</v>
      </c>
      <c r="AB138">
        <v>3469.027</v>
      </c>
      <c r="AC138">
        <v>3.3</v>
      </c>
      <c r="AD138">
        <v>189.29300000000001</v>
      </c>
      <c r="AE138">
        <v>188.69200000000001</v>
      </c>
      <c r="AF138">
        <v>6.0549999999999997</v>
      </c>
      <c r="AG138">
        <v>176.501</v>
      </c>
      <c r="AH138">
        <v>0.67122905027932955</v>
      </c>
      <c r="AI138">
        <v>249.15299999999999</v>
      </c>
      <c r="AJ138">
        <v>0</v>
      </c>
      <c r="AK138">
        <v>1.2010000000000001</v>
      </c>
      <c r="AL138">
        <v>-20.902999999999999</v>
      </c>
      <c r="AM138">
        <v>359.13400000000001</v>
      </c>
      <c r="AN138">
        <v>358.53699999999998</v>
      </c>
      <c r="AO138">
        <v>5158</v>
      </c>
      <c r="AP138">
        <v>358.53699999999998</v>
      </c>
      <c r="AQ138">
        <v>403.35399999999998</v>
      </c>
      <c r="AR138">
        <v>2127.8150000000001</v>
      </c>
      <c r="AS138">
        <v>2151.2199999999998</v>
      </c>
      <c r="AT138">
        <v>143.501</v>
      </c>
      <c r="AU138">
        <v>1747.866</v>
      </c>
      <c r="AV138">
        <v>2420.1219999999998</v>
      </c>
      <c r="AW138">
        <v>3426.674</v>
      </c>
      <c r="AX138">
        <v>3406.098</v>
      </c>
      <c r="AY138">
        <v>78.56</v>
      </c>
      <c r="AZ138">
        <v>3182.0120000000002</v>
      </c>
      <c r="BA138">
        <v>3585.366</v>
      </c>
      <c r="BB138">
        <v>3.58</v>
      </c>
      <c r="BC138">
        <v>197.126</v>
      </c>
      <c r="BD138">
        <v>196.125</v>
      </c>
      <c r="BE138">
        <v>11.208</v>
      </c>
      <c r="BF138">
        <v>186.52600000000001</v>
      </c>
      <c r="BG138">
        <v>1.2576687116564419E-2</v>
      </c>
      <c r="BH138">
        <v>330.51400000000001</v>
      </c>
      <c r="BI138">
        <v>6.1349693251533744E-3</v>
      </c>
      <c r="BJ138">
        <v>1</v>
      </c>
      <c r="BK138">
        <v>-22.986000000000001</v>
      </c>
      <c r="BL138">
        <v>378.85</v>
      </c>
      <c r="BM138">
        <v>375.71899999999999</v>
      </c>
      <c r="BN138">
        <v>20.838000000000001</v>
      </c>
      <c r="BO138">
        <v>375.71899999999999</v>
      </c>
      <c r="BP138">
        <v>610.54300000000001</v>
      </c>
      <c r="BQ138">
        <v>961.505</v>
      </c>
      <c r="BR138">
        <v>939.29700000000003</v>
      </c>
      <c r="BS138">
        <v>47.359000000000002</v>
      </c>
      <c r="BT138">
        <v>939.29700000000003</v>
      </c>
      <c r="BU138">
        <v>1408.9459999999999</v>
      </c>
      <c r="BV138">
        <v>4277.201</v>
      </c>
      <c r="BW138">
        <v>4367.732</v>
      </c>
      <c r="BX138">
        <v>282.053</v>
      </c>
      <c r="BY138">
        <v>2864.8560000000002</v>
      </c>
      <c r="BZ138">
        <v>4696.4859999999999</v>
      </c>
      <c r="CA138">
        <v>3.26</v>
      </c>
    </row>
    <row r="139" spans="1:84" x14ac:dyDescent="0.35">
      <c r="A139" t="s">
        <v>147</v>
      </c>
      <c r="B139" t="str">
        <f t="shared" si="10"/>
        <v xml:space="preserve"> va_li_2004_04_15_257</v>
      </c>
      <c r="C139" s="1">
        <f t="shared" si="9"/>
        <v>45751</v>
      </c>
      <c r="D139" t="s">
        <v>78</v>
      </c>
      <c r="E139">
        <v>183.643</v>
      </c>
      <c r="F139">
        <v>183.31399999999999</v>
      </c>
      <c r="G139">
        <v>2.2989999999999999</v>
      </c>
      <c r="H139">
        <v>180.738</v>
      </c>
      <c r="I139">
        <v>0.77761627906976738</v>
      </c>
      <c r="J139">
        <v>197.37899999999999</v>
      </c>
      <c r="K139">
        <v>0.99215116279069759</v>
      </c>
      <c r="L139">
        <v>0.38200000000000001</v>
      </c>
      <c r="M139">
        <v>-22.56</v>
      </c>
      <c r="N139">
        <v>732.83600000000001</v>
      </c>
      <c r="O139">
        <v>742.27700000000004</v>
      </c>
      <c r="P139">
        <v>51.573</v>
      </c>
      <c r="Q139">
        <v>567.62400000000002</v>
      </c>
      <c r="R139">
        <v>829.60400000000004</v>
      </c>
      <c r="S139">
        <v>1154.9570000000001</v>
      </c>
      <c r="T139">
        <v>1178.9110000000001</v>
      </c>
      <c r="U139">
        <v>59.063000000000002</v>
      </c>
      <c r="V139">
        <v>1047.921</v>
      </c>
      <c r="W139">
        <v>1615.5450000000001</v>
      </c>
      <c r="X139">
        <v>2773.3560000000002</v>
      </c>
      <c r="Y139">
        <v>2794.4549999999999</v>
      </c>
      <c r="Z139">
        <v>201.221</v>
      </c>
      <c r="AA139">
        <v>2401.4850000000001</v>
      </c>
      <c r="AB139">
        <v>4453.6629999999996</v>
      </c>
      <c r="AC139">
        <v>3.44</v>
      </c>
      <c r="AD139">
        <v>186.096</v>
      </c>
      <c r="AE139">
        <v>185.90799999999999</v>
      </c>
      <c r="AF139">
        <v>2.1150000000000002</v>
      </c>
      <c r="AG139">
        <v>181.69499999999999</v>
      </c>
      <c r="AH139">
        <v>7.0205479452054798E-2</v>
      </c>
      <c r="AI139">
        <v>200.45500000000001</v>
      </c>
      <c r="AJ139">
        <v>0</v>
      </c>
      <c r="AK139">
        <v>0.438</v>
      </c>
      <c r="AL139">
        <v>-28.279</v>
      </c>
      <c r="AM139">
        <v>336.60399999999998</v>
      </c>
      <c r="AN139">
        <v>354.93</v>
      </c>
      <c r="AO139">
        <v>22.085999999999999</v>
      </c>
      <c r="AP139">
        <v>310.56299999999999</v>
      </c>
      <c r="AQ139">
        <v>354.93</v>
      </c>
      <c r="AR139">
        <v>2356.6080000000002</v>
      </c>
      <c r="AS139">
        <v>2351.4079999999999</v>
      </c>
      <c r="AT139">
        <v>87.787999999999997</v>
      </c>
      <c r="AU139">
        <v>1641.549</v>
      </c>
      <c r="AV139">
        <v>2484.5070000000001</v>
      </c>
      <c r="AW139">
        <v>3544.0970000000002</v>
      </c>
      <c r="AX139">
        <v>3504.93</v>
      </c>
      <c r="AY139">
        <v>169.20500000000001</v>
      </c>
      <c r="AZ139">
        <v>3105.634</v>
      </c>
      <c r="BA139">
        <v>4214.7889999999998</v>
      </c>
      <c r="BB139">
        <v>2.92</v>
      </c>
      <c r="BC139">
        <v>192.453</v>
      </c>
      <c r="BD139">
        <v>192.21700000000001</v>
      </c>
      <c r="BE139">
        <v>2.3879999999999999</v>
      </c>
      <c r="BF139">
        <v>188.577</v>
      </c>
      <c r="BG139">
        <v>0.90625</v>
      </c>
      <c r="BH139">
        <v>209.43</v>
      </c>
      <c r="BI139">
        <v>5.9523809523809529E-3</v>
      </c>
      <c r="BJ139">
        <v>0.32200000000000001</v>
      </c>
      <c r="BK139">
        <v>-29.331</v>
      </c>
      <c r="BL139">
        <v>356.774</v>
      </c>
      <c r="BM139">
        <v>364.84</v>
      </c>
      <c r="BN139">
        <v>18.257999999999999</v>
      </c>
      <c r="BO139">
        <v>319.23500000000001</v>
      </c>
      <c r="BP139">
        <v>410.44499999999999</v>
      </c>
      <c r="BQ139">
        <v>1072.057</v>
      </c>
      <c r="BR139">
        <v>1048.914</v>
      </c>
      <c r="BS139">
        <v>43.026000000000003</v>
      </c>
      <c r="BT139">
        <v>1003.309</v>
      </c>
      <c r="BU139">
        <v>1322.5440000000001</v>
      </c>
      <c r="BV139">
        <v>3552.087</v>
      </c>
      <c r="BW139">
        <v>3557.1869999999999</v>
      </c>
      <c r="BX139">
        <v>196.28100000000001</v>
      </c>
      <c r="BY139">
        <v>2918.7179999999998</v>
      </c>
      <c r="BZ139">
        <v>4104.4470000000001</v>
      </c>
      <c r="CA139">
        <v>3.36</v>
      </c>
      <c r="CB139">
        <v>7</v>
      </c>
      <c r="CC139">
        <v>3</v>
      </c>
      <c r="CD139">
        <v>0</v>
      </c>
      <c r="CE139">
        <v>3</v>
      </c>
      <c r="CF139">
        <v>3</v>
      </c>
    </row>
    <row r="140" spans="1:84" x14ac:dyDescent="0.35">
      <c r="A140" t="s">
        <v>132</v>
      </c>
      <c r="B140" t="str">
        <f t="shared" si="10"/>
        <v xml:space="preserve"> va_ma_2005_05_31_567</v>
      </c>
      <c r="C140" s="1">
        <f t="shared" si="9"/>
        <v>45750</v>
      </c>
      <c r="D140" t="s">
        <v>78</v>
      </c>
      <c r="E140">
        <v>177.989</v>
      </c>
      <c r="F140">
        <v>177.108</v>
      </c>
      <c r="G140">
        <v>9.3889999999999993</v>
      </c>
      <c r="H140">
        <v>163.941</v>
      </c>
      <c r="I140">
        <v>1.1428571428571429E-2</v>
      </c>
      <c r="J140">
        <v>260.947</v>
      </c>
      <c r="K140">
        <v>0</v>
      </c>
      <c r="L140">
        <v>1.0209999999999999</v>
      </c>
      <c r="M140">
        <v>-26.664000000000001</v>
      </c>
      <c r="N140">
        <v>600.83900000000006</v>
      </c>
      <c r="O140">
        <v>595.94600000000003</v>
      </c>
      <c r="P140">
        <v>85.24</v>
      </c>
      <c r="Q140">
        <v>425.67599999999999</v>
      </c>
      <c r="R140">
        <v>979.05399999999997</v>
      </c>
      <c r="S140">
        <v>1110.944</v>
      </c>
      <c r="T140">
        <v>1106.7570000000001</v>
      </c>
      <c r="U140">
        <v>99.436999999999998</v>
      </c>
      <c r="V140">
        <v>1021.622</v>
      </c>
      <c r="W140">
        <v>1830.405</v>
      </c>
      <c r="X140">
        <v>2925.5529999999999</v>
      </c>
      <c r="Y140">
        <v>2937.1619999999998</v>
      </c>
      <c r="Z140">
        <v>118.96</v>
      </c>
      <c r="AA140">
        <v>2681.7570000000001</v>
      </c>
      <c r="AB140">
        <v>3618.2429999999999</v>
      </c>
      <c r="AC140">
        <v>2.1</v>
      </c>
      <c r="AD140">
        <v>177.15600000000001</v>
      </c>
      <c r="AE140">
        <v>177.00700000000001</v>
      </c>
      <c r="AF140">
        <v>2.218</v>
      </c>
      <c r="AG140">
        <v>172.74799999999999</v>
      </c>
      <c r="AH140">
        <v>6.5168539325842698E-2</v>
      </c>
      <c r="AI140">
        <v>184.96100000000001</v>
      </c>
      <c r="AJ140">
        <v>0.96966292134831455</v>
      </c>
      <c r="AK140">
        <v>0.59499999999999997</v>
      </c>
      <c r="AL140">
        <v>-20.841999999999999</v>
      </c>
      <c r="AM140">
        <v>337.988</v>
      </c>
      <c r="AN140">
        <v>337.28500000000003</v>
      </c>
      <c r="AO140">
        <v>5443</v>
      </c>
      <c r="AP140">
        <v>337.28500000000003</v>
      </c>
      <c r="AQ140">
        <v>379.44600000000003</v>
      </c>
      <c r="AR140">
        <v>2403.1550000000002</v>
      </c>
      <c r="AS140">
        <v>2403.1550000000002</v>
      </c>
      <c r="AT140">
        <v>117.60299999999999</v>
      </c>
      <c r="AU140">
        <v>1686.424</v>
      </c>
      <c r="AV140">
        <v>2571.797</v>
      </c>
      <c r="AW140">
        <v>3073.7359999999999</v>
      </c>
      <c r="AX140">
        <v>3035.5639999999999</v>
      </c>
      <c r="AY140">
        <v>153.39500000000001</v>
      </c>
      <c r="AZ140">
        <v>2824.761</v>
      </c>
      <c r="BA140">
        <v>3710.134</v>
      </c>
      <c r="BB140">
        <v>1.78</v>
      </c>
      <c r="BC140">
        <v>177.821</v>
      </c>
      <c r="BD140">
        <v>177.21</v>
      </c>
      <c r="BE140">
        <v>3.0430000000000001</v>
      </c>
      <c r="BF140">
        <v>173.524</v>
      </c>
      <c r="BG140">
        <v>0.66510416666666661</v>
      </c>
      <c r="BH140">
        <v>189.27</v>
      </c>
      <c r="BI140">
        <v>0.98541666666666661</v>
      </c>
      <c r="BJ140">
        <v>0.67200000000000004</v>
      </c>
      <c r="BK140">
        <v>-26.045999999999999</v>
      </c>
      <c r="BL140">
        <v>345.77600000000001</v>
      </c>
      <c r="BM140">
        <v>342.524</v>
      </c>
      <c r="BN140">
        <v>20.306000000000001</v>
      </c>
      <c r="BO140">
        <v>342.524</v>
      </c>
      <c r="BP140">
        <v>513.78599999999994</v>
      </c>
      <c r="BQ140">
        <v>1026.431</v>
      </c>
      <c r="BR140">
        <v>1027.5730000000001</v>
      </c>
      <c r="BS140">
        <v>85.334000000000003</v>
      </c>
      <c r="BT140">
        <v>984.75699999999995</v>
      </c>
      <c r="BU140">
        <v>1626.99</v>
      </c>
      <c r="BV140">
        <v>2941.0569999999998</v>
      </c>
      <c r="BW140">
        <v>2954.2719999999999</v>
      </c>
      <c r="BX140">
        <v>144.18799999999999</v>
      </c>
      <c r="BY140">
        <v>2354.8539999999998</v>
      </c>
      <c r="BZ140">
        <v>3296.7959999999998</v>
      </c>
      <c r="CA140">
        <v>1.92</v>
      </c>
    </row>
    <row r="141" spans="1:84" x14ac:dyDescent="0.35">
      <c r="A141" t="s">
        <v>196</v>
      </c>
      <c r="B141" t="str">
        <f t="shared" si="10"/>
        <v xml:space="preserve"> vi_ma_2004_06_14_505</v>
      </c>
      <c r="C141" s="1">
        <f t="shared" si="9"/>
        <v>45753</v>
      </c>
      <c r="D141" t="s">
        <v>78</v>
      </c>
      <c r="E141">
        <v>190.83</v>
      </c>
      <c r="F141">
        <v>190.673</v>
      </c>
      <c r="G141">
        <v>9.4469999999999992</v>
      </c>
      <c r="H141">
        <v>102.831</v>
      </c>
      <c r="I141">
        <v>1.7796610169491526E-2</v>
      </c>
      <c r="J141">
        <v>214.078</v>
      </c>
      <c r="K141">
        <v>1</v>
      </c>
      <c r="L141">
        <v>2.3570000000000002</v>
      </c>
      <c r="M141">
        <v>-20.302</v>
      </c>
      <c r="N141">
        <v>572.37400000000002</v>
      </c>
      <c r="O141">
        <v>589.20899999999995</v>
      </c>
      <c r="P141">
        <v>53.055999999999997</v>
      </c>
      <c r="Q141">
        <v>407.91399999999999</v>
      </c>
      <c r="R141">
        <v>770.50400000000002</v>
      </c>
      <c r="S141">
        <v>1084.6289999999999</v>
      </c>
      <c r="T141">
        <v>1087.77</v>
      </c>
      <c r="U141">
        <v>53.343000000000004</v>
      </c>
      <c r="V141">
        <v>1042.4459999999999</v>
      </c>
      <c r="W141">
        <v>1269.0650000000001</v>
      </c>
      <c r="X141">
        <v>3073.4630000000002</v>
      </c>
      <c r="Y141">
        <v>3082.0140000000001</v>
      </c>
      <c r="Z141">
        <v>149.095</v>
      </c>
      <c r="AA141">
        <v>2628.777</v>
      </c>
      <c r="AB141">
        <v>3489.9279999999999</v>
      </c>
      <c r="AC141">
        <v>2.36</v>
      </c>
      <c r="AD141">
        <v>194.726</v>
      </c>
      <c r="AE141">
        <v>192.33600000000001</v>
      </c>
      <c r="AF141">
        <v>21.474</v>
      </c>
      <c r="AG141">
        <v>110.60599999999999</v>
      </c>
      <c r="AH141">
        <v>2.8695652173913046E-2</v>
      </c>
      <c r="AI141">
        <v>327.35899999999998</v>
      </c>
      <c r="AJ141">
        <v>9.5652173913043474E-3</v>
      </c>
      <c r="AK141">
        <v>2.3159999999999998</v>
      </c>
      <c r="AL141">
        <v>-28.477</v>
      </c>
      <c r="AM141">
        <v>367.88299999999998</v>
      </c>
      <c r="AN141">
        <v>367.88299999999998</v>
      </c>
      <c r="AO141">
        <v>12.816000000000001</v>
      </c>
      <c r="AP141">
        <v>275.91199999999998</v>
      </c>
      <c r="AQ141">
        <v>459.85399999999998</v>
      </c>
      <c r="AR141">
        <v>2536.0949999999998</v>
      </c>
      <c r="AS141">
        <v>2575.1819999999998</v>
      </c>
      <c r="AT141">
        <v>102.59099999999999</v>
      </c>
      <c r="AU141">
        <v>1977.3720000000001</v>
      </c>
      <c r="AV141">
        <v>2621.1680000000001</v>
      </c>
      <c r="AW141">
        <v>3284.4189999999999</v>
      </c>
      <c r="AX141">
        <v>3310.9490000000001</v>
      </c>
      <c r="AY141">
        <v>87.084000000000003</v>
      </c>
      <c r="AZ141">
        <v>2989.0509999999999</v>
      </c>
      <c r="BA141">
        <v>3448.9050000000002</v>
      </c>
      <c r="BB141">
        <v>2.2999999999999998</v>
      </c>
      <c r="BC141">
        <v>165.148</v>
      </c>
      <c r="BD141">
        <v>193.05799999999999</v>
      </c>
      <c r="BE141">
        <v>51.692</v>
      </c>
      <c r="BF141">
        <v>90</v>
      </c>
      <c r="BG141">
        <v>0.9895522388059701</v>
      </c>
      <c r="BH141">
        <v>309.31900000000002</v>
      </c>
      <c r="BI141">
        <v>0.54962686567164176</v>
      </c>
      <c r="BJ141">
        <v>19.582999999999998</v>
      </c>
      <c r="BK141">
        <v>-19.562000000000001</v>
      </c>
      <c r="BL141">
        <v>378.05399999999997</v>
      </c>
      <c r="BM141">
        <v>376.923</v>
      </c>
      <c r="BN141">
        <v>28.071000000000002</v>
      </c>
      <c r="BO141">
        <v>339.23099999999999</v>
      </c>
      <c r="BP141">
        <v>452.30799999999999</v>
      </c>
      <c r="BQ141">
        <v>984.05899999999997</v>
      </c>
      <c r="BR141">
        <v>980</v>
      </c>
      <c r="BS141">
        <v>25.911999999999999</v>
      </c>
      <c r="BT141">
        <v>942.30799999999999</v>
      </c>
      <c r="BU141">
        <v>1093.077</v>
      </c>
      <c r="BV141">
        <v>3512.1689999999999</v>
      </c>
      <c r="BW141">
        <v>3524.2310000000002</v>
      </c>
      <c r="BX141">
        <v>135.88900000000001</v>
      </c>
      <c r="BY141">
        <v>3053.0770000000002</v>
      </c>
      <c r="BZ141">
        <v>3844.6149999999998</v>
      </c>
      <c r="CA141">
        <v>2.68</v>
      </c>
      <c r="CB141">
        <v>8</v>
      </c>
      <c r="CC141">
        <v>5</v>
      </c>
      <c r="CD141">
        <v>0</v>
      </c>
      <c r="CE141">
        <v>4</v>
      </c>
      <c r="CF141">
        <v>2</v>
      </c>
    </row>
    <row r="142" spans="1:84" x14ac:dyDescent="0.35">
      <c r="A142" t="s">
        <v>218</v>
      </c>
      <c r="B142" t="str">
        <f t="shared" si="10"/>
        <v xml:space="preserve"> vi_pi_2005_08_23_271</v>
      </c>
      <c r="C142" s="1">
        <f t="shared" si="9"/>
        <v>45747</v>
      </c>
      <c r="D142" t="s">
        <v>78</v>
      </c>
      <c r="E142">
        <v>205.63499999999999</v>
      </c>
      <c r="F142">
        <v>209.715</v>
      </c>
      <c r="G142">
        <v>22.439</v>
      </c>
      <c r="H142">
        <v>100.032</v>
      </c>
      <c r="I142">
        <v>0</v>
      </c>
      <c r="J142">
        <v>217.089</v>
      </c>
      <c r="K142">
        <v>3.888888888888889E-2</v>
      </c>
      <c r="L142">
        <v>5.4089999999999998</v>
      </c>
      <c r="M142">
        <v>-25.911000000000001</v>
      </c>
      <c r="N142">
        <v>706.38900000000001</v>
      </c>
      <c r="O142">
        <v>739.93299999999999</v>
      </c>
      <c r="P142">
        <v>106.29600000000001</v>
      </c>
      <c r="Q142">
        <v>591.94600000000003</v>
      </c>
      <c r="R142">
        <v>887.91899999999998</v>
      </c>
      <c r="S142">
        <v>1165.394</v>
      </c>
      <c r="T142">
        <v>1183.893</v>
      </c>
      <c r="U142">
        <v>61.392000000000003</v>
      </c>
      <c r="V142">
        <v>1085.2349999999999</v>
      </c>
      <c r="W142">
        <v>1282.55</v>
      </c>
      <c r="X142">
        <v>2405.2750000000001</v>
      </c>
      <c r="Y142">
        <v>2367.7849999999999</v>
      </c>
      <c r="Z142">
        <v>117.66800000000001</v>
      </c>
      <c r="AA142">
        <v>2219.799</v>
      </c>
      <c r="AB142">
        <v>2565.1010000000001</v>
      </c>
      <c r="AC142">
        <v>0.54</v>
      </c>
      <c r="AD142">
        <v>199.58099999999999</v>
      </c>
      <c r="AE142">
        <v>191.02699999999999</v>
      </c>
      <c r="AF142">
        <v>39.247</v>
      </c>
      <c r="AG142">
        <v>99.837999999999994</v>
      </c>
      <c r="AH142">
        <v>0</v>
      </c>
      <c r="AI142">
        <v>290.13200000000001</v>
      </c>
      <c r="AJ142">
        <v>0.93600000000000005</v>
      </c>
      <c r="AK142">
        <v>7.1340000000000003</v>
      </c>
      <c r="AL142">
        <v>-22.832000000000001</v>
      </c>
      <c r="AM142">
        <v>308.43099999999998</v>
      </c>
      <c r="AN142">
        <v>314.03899999999999</v>
      </c>
      <c r="AO142">
        <v>15.861000000000001</v>
      </c>
      <c r="AP142">
        <v>269.17599999999999</v>
      </c>
      <c r="AQ142">
        <v>314.03899999999999</v>
      </c>
      <c r="AR142">
        <v>2309.3589999999999</v>
      </c>
      <c r="AS142">
        <v>2332.8589999999999</v>
      </c>
      <c r="AT142">
        <v>145.108</v>
      </c>
      <c r="AU142">
        <v>1929.095</v>
      </c>
      <c r="AV142">
        <v>2467.4470000000001</v>
      </c>
      <c r="AW142">
        <v>3744.9639999999999</v>
      </c>
      <c r="AX142">
        <v>3768.4639999999999</v>
      </c>
      <c r="AY142">
        <v>143.012</v>
      </c>
      <c r="AZ142">
        <v>3364.7</v>
      </c>
      <c r="BA142">
        <v>3858.1889999999999</v>
      </c>
      <c r="BB142">
        <v>0.5</v>
      </c>
      <c r="BC142">
        <v>187.48099999999999</v>
      </c>
      <c r="BD142">
        <v>178.43899999999999</v>
      </c>
      <c r="BE142">
        <v>25.617999999999999</v>
      </c>
      <c r="BF142">
        <v>174.80199999999999</v>
      </c>
      <c r="BG142">
        <v>0.69500000000000006</v>
      </c>
      <c r="BH142">
        <v>279.62</v>
      </c>
      <c r="BI142">
        <v>5.7499999999999996E-2</v>
      </c>
      <c r="BJ142">
        <v>4.9080000000000004</v>
      </c>
      <c r="BK142">
        <v>-22.853999999999999</v>
      </c>
      <c r="BL142">
        <v>367.11799999999999</v>
      </c>
      <c r="BM142">
        <v>367.11799999999999</v>
      </c>
      <c r="BN142">
        <v>28.102</v>
      </c>
      <c r="BO142">
        <v>321.22800000000001</v>
      </c>
      <c r="BP142">
        <v>458.89699999999999</v>
      </c>
      <c r="BQ142">
        <v>1529.6569999999999</v>
      </c>
      <c r="BR142">
        <v>1560.25</v>
      </c>
      <c r="BS142">
        <v>90.236999999999995</v>
      </c>
      <c r="BT142">
        <v>1376.691</v>
      </c>
      <c r="BU142">
        <v>1606.1389999999999</v>
      </c>
      <c r="BV142">
        <v>2966.634</v>
      </c>
      <c r="BW142">
        <v>2982.83</v>
      </c>
      <c r="BX142">
        <v>85.762</v>
      </c>
      <c r="BY142">
        <v>2845.1610000000001</v>
      </c>
      <c r="BZ142">
        <v>3120.4989999999998</v>
      </c>
      <c r="CA142">
        <v>0.4</v>
      </c>
      <c r="CB142">
        <v>2</v>
      </c>
      <c r="CC142">
        <v>0</v>
      </c>
      <c r="CD142">
        <v>0</v>
      </c>
      <c r="CE142">
        <v>0</v>
      </c>
      <c r="CF142">
        <v>1</v>
      </c>
    </row>
  </sheetData>
  <sortState xmlns:xlrd2="http://schemas.microsoft.com/office/spreadsheetml/2017/richdata2" ref="A2:CA142">
    <sortCondition ref="B2:B14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7B6D3-0912-44BB-81C9-70BEE7545B75}">
  <dimension ref="A1:CF142"/>
  <sheetViews>
    <sheetView topLeftCell="AO1" workbookViewId="0">
      <selection activeCell="CB1" sqref="CB1:CF1048576"/>
    </sheetView>
  </sheetViews>
  <sheetFormatPr defaultRowHeight="14.5" x14ac:dyDescent="0.35"/>
  <cols>
    <col min="1" max="1" width="56.1796875" bestFit="1" customWidth="1"/>
    <col min="2" max="3" width="23.54296875" customWidth="1"/>
    <col min="80" max="84" width="22.1796875" customWidth="1"/>
  </cols>
  <sheetData>
    <row r="1" spans="1:84" x14ac:dyDescent="0.35">
      <c r="A1" t="s">
        <v>0</v>
      </c>
      <c r="B1" t="s">
        <v>552</v>
      </c>
      <c r="C1" t="s">
        <v>553</v>
      </c>
      <c r="D1" t="s">
        <v>1</v>
      </c>
      <c r="E1" t="s">
        <v>219</v>
      </c>
      <c r="F1" t="s">
        <v>220</v>
      </c>
      <c r="G1" t="s">
        <v>221</v>
      </c>
      <c r="H1" t="s">
        <v>222</v>
      </c>
      <c r="I1" t="s">
        <v>6</v>
      </c>
      <c r="J1" t="s">
        <v>223</v>
      </c>
      <c r="K1" t="s">
        <v>8</v>
      </c>
      <c r="L1" t="s">
        <v>9</v>
      </c>
      <c r="M1" t="s">
        <v>10</v>
      </c>
      <c r="N1" t="s">
        <v>224</v>
      </c>
      <c r="O1" t="s">
        <v>12</v>
      </c>
      <c r="P1" t="s">
        <v>225</v>
      </c>
      <c r="Q1" t="s">
        <v>226</v>
      </c>
      <c r="R1" t="s">
        <v>227</v>
      </c>
      <c r="S1" t="s">
        <v>228</v>
      </c>
      <c r="T1" t="s">
        <v>17</v>
      </c>
      <c r="U1" t="s">
        <v>229</v>
      </c>
      <c r="V1" t="s">
        <v>230</v>
      </c>
      <c r="W1" t="s">
        <v>231</v>
      </c>
      <c r="X1" t="s">
        <v>232</v>
      </c>
      <c r="Y1" t="s">
        <v>22</v>
      </c>
      <c r="Z1" t="s">
        <v>233</v>
      </c>
      <c r="AA1" t="s">
        <v>234</v>
      </c>
      <c r="AB1" t="s">
        <v>235</v>
      </c>
      <c r="AC1" t="s">
        <v>26</v>
      </c>
      <c r="AD1" t="s">
        <v>236</v>
      </c>
      <c r="AE1" t="s">
        <v>237</v>
      </c>
      <c r="AF1" t="s">
        <v>238</v>
      </c>
      <c r="AG1" t="s">
        <v>239</v>
      </c>
      <c r="AH1" t="s">
        <v>31</v>
      </c>
      <c r="AI1" t="s">
        <v>240</v>
      </c>
      <c r="AJ1" t="s">
        <v>33</v>
      </c>
      <c r="AK1" t="s">
        <v>34</v>
      </c>
      <c r="AL1" t="s">
        <v>35</v>
      </c>
      <c r="AM1" t="s">
        <v>241</v>
      </c>
      <c r="AN1" t="s">
        <v>37</v>
      </c>
      <c r="AO1" t="s">
        <v>242</v>
      </c>
      <c r="AP1" t="s">
        <v>243</v>
      </c>
      <c r="AQ1" t="s">
        <v>244</v>
      </c>
      <c r="AR1" t="s">
        <v>245</v>
      </c>
      <c r="AS1" t="s">
        <v>42</v>
      </c>
      <c r="AT1" t="s">
        <v>246</v>
      </c>
      <c r="AU1" t="s">
        <v>247</v>
      </c>
      <c r="AV1" t="s">
        <v>248</v>
      </c>
      <c r="AW1" t="s">
        <v>249</v>
      </c>
      <c r="AX1" t="s">
        <v>47</v>
      </c>
      <c r="AY1" t="s">
        <v>250</v>
      </c>
      <c r="AZ1" t="s">
        <v>251</v>
      </c>
      <c r="BA1" t="s">
        <v>252</v>
      </c>
      <c r="BB1" t="s">
        <v>51</v>
      </c>
      <c r="BC1" t="s">
        <v>253</v>
      </c>
      <c r="BD1" t="s">
        <v>254</v>
      </c>
      <c r="BE1" t="s">
        <v>255</v>
      </c>
      <c r="BF1" t="s">
        <v>256</v>
      </c>
      <c r="BG1" t="s">
        <v>56</v>
      </c>
      <c r="BH1" t="s">
        <v>257</v>
      </c>
      <c r="BI1" t="s">
        <v>58</v>
      </c>
      <c r="BJ1" t="s">
        <v>59</v>
      </c>
      <c r="BK1" t="s">
        <v>60</v>
      </c>
      <c r="BL1" t="s">
        <v>258</v>
      </c>
      <c r="BM1" t="s">
        <v>62</v>
      </c>
      <c r="BN1" t="s">
        <v>259</v>
      </c>
      <c r="BO1" t="s">
        <v>260</v>
      </c>
      <c r="BP1" t="s">
        <v>261</v>
      </c>
      <c r="BQ1" t="s">
        <v>262</v>
      </c>
      <c r="BR1" t="s">
        <v>67</v>
      </c>
      <c r="BS1" t="s">
        <v>263</v>
      </c>
      <c r="BT1" t="s">
        <v>264</v>
      </c>
      <c r="BU1" t="s">
        <v>265</v>
      </c>
      <c r="BV1" t="s">
        <v>266</v>
      </c>
      <c r="BW1" t="s">
        <v>72</v>
      </c>
      <c r="BX1" t="s">
        <v>267</v>
      </c>
      <c r="BY1" t="s">
        <v>268</v>
      </c>
      <c r="BZ1" t="s">
        <v>269</v>
      </c>
      <c r="CA1" t="s">
        <v>76</v>
      </c>
      <c r="CB1" t="s">
        <v>554</v>
      </c>
      <c r="CC1" t="s">
        <v>555</v>
      </c>
      <c r="CD1" t="s">
        <v>556</v>
      </c>
      <c r="CE1" t="s">
        <v>557</v>
      </c>
      <c r="CF1" t="s">
        <v>558</v>
      </c>
    </row>
    <row r="2" spans="1:84" x14ac:dyDescent="0.35">
      <c r="A2" t="s">
        <v>275</v>
      </c>
      <c r="B2" t="str">
        <f t="shared" ref="B2:B12" si="0">_xlfn.TEXTAFTER(A2,"-")</f>
        <v xml:space="preserve"> ad_pa_2006_01_27_630</v>
      </c>
      <c r="C2" s="1">
        <f t="shared" ref="C2:C33" si="1">DATEVALUE(SUBSTITUTE(_xlfn.TEXTAFTER(_xlfn.TEXTBEFORE(A2," -"),"a2_"),"_","/"))</f>
        <v>45761</v>
      </c>
      <c r="D2" t="s">
        <v>78</v>
      </c>
      <c r="E2">
        <v>189.50299999999999</v>
      </c>
      <c r="F2">
        <v>190.08600000000001</v>
      </c>
      <c r="G2">
        <v>2.6880000000000002</v>
      </c>
      <c r="H2">
        <v>175.797</v>
      </c>
      <c r="I2">
        <v>8.7999999999999988E-3</v>
      </c>
      <c r="J2">
        <v>192.93799999999999</v>
      </c>
      <c r="K2">
        <v>0.9516</v>
      </c>
      <c r="L2">
        <v>0.41</v>
      </c>
      <c r="M2">
        <v>-28.602</v>
      </c>
      <c r="N2">
        <v>736.45799999999997</v>
      </c>
      <c r="O2">
        <v>725.92600000000004</v>
      </c>
      <c r="P2">
        <v>43.055999999999997</v>
      </c>
      <c r="Q2">
        <v>680.55600000000004</v>
      </c>
      <c r="R2">
        <v>952.77800000000002</v>
      </c>
      <c r="S2">
        <v>1099.0160000000001</v>
      </c>
      <c r="T2">
        <v>1088.8889999999999</v>
      </c>
      <c r="U2">
        <v>41.174999999999997</v>
      </c>
      <c r="V2">
        <v>998.14800000000002</v>
      </c>
      <c r="W2">
        <v>1225</v>
      </c>
      <c r="X2">
        <v>2812.1529999999998</v>
      </c>
      <c r="Y2">
        <v>2812.9630000000002</v>
      </c>
      <c r="Z2">
        <v>105.30500000000001</v>
      </c>
      <c r="AA2">
        <v>2586.1109999999999</v>
      </c>
      <c r="AB2">
        <v>3085.1849999999999</v>
      </c>
      <c r="AC2">
        <v>2.5</v>
      </c>
      <c r="AD2">
        <v>188.38399999999999</v>
      </c>
      <c r="AE2">
        <v>188.69200000000001</v>
      </c>
      <c r="AF2">
        <v>2.4769999999999999</v>
      </c>
      <c r="AG2">
        <v>182.124</v>
      </c>
      <c r="AH2">
        <v>0.88579881656804738</v>
      </c>
      <c r="AI2">
        <v>195.38</v>
      </c>
      <c r="AJ2">
        <v>0.99260355029585801</v>
      </c>
      <c r="AK2">
        <v>0.313</v>
      </c>
      <c r="AL2">
        <v>-28.844999999999999</v>
      </c>
      <c r="AM2">
        <v>356.70800000000003</v>
      </c>
      <c r="AN2">
        <v>357.447</v>
      </c>
      <c r="AO2">
        <v>8124</v>
      </c>
      <c r="AP2">
        <v>312.76600000000002</v>
      </c>
      <c r="AQ2">
        <v>402.12799999999999</v>
      </c>
      <c r="AR2">
        <v>2466.3829999999998</v>
      </c>
      <c r="AS2">
        <v>2502.1280000000002</v>
      </c>
      <c r="AT2">
        <v>84.881</v>
      </c>
      <c r="AU2">
        <v>1876.596</v>
      </c>
      <c r="AV2">
        <v>2546.8090000000002</v>
      </c>
      <c r="AW2">
        <v>3289.1060000000002</v>
      </c>
      <c r="AX2">
        <v>3261.7020000000002</v>
      </c>
      <c r="AY2">
        <v>211.15100000000001</v>
      </c>
      <c r="AZ2">
        <v>2993.6170000000002</v>
      </c>
      <c r="BA2">
        <v>3976.596</v>
      </c>
      <c r="BB2">
        <v>3.38</v>
      </c>
      <c r="BC2">
        <v>189.25899999999999</v>
      </c>
      <c r="BD2">
        <v>187.88800000000001</v>
      </c>
      <c r="BE2">
        <v>12.536</v>
      </c>
      <c r="BF2">
        <v>181.90899999999999</v>
      </c>
      <c r="BG2">
        <v>3.3984374999999997E-2</v>
      </c>
      <c r="BH2">
        <v>306.85899999999998</v>
      </c>
      <c r="BI2">
        <v>1.6406250000000001E-2</v>
      </c>
      <c r="BJ2">
        <v>0.85099999999999998</v>
      </c>
      <c r="BK2">
        <v>-28.785</v>
      </c>
      <c r="BL2">
        <v>361.60500000000002</v>
      </c>
      <c r="BM2">
        <v>359.63299999999998</v>
      </c>
      <c r="BN2">
        <v>15.118</v>
      </c>
      <c r="BO2">
        <v>359.63299999999998</v>
      </c>
      <c r="BP2">
        <v>494.495</v>
      </c>
      <c r="BQ2">
        <v>1031.248</v>
      </c>
      <c r="BR2">
        <v>1033.9449999999999</v>
      </c>
      <c r="BS2">
        <v>57.015000000000001</v>
      </c>
      <c r="BT2">
        <v>988.99099999999999</v>
      </c>
      <c r="BU2">
        <v>1393.578</v>
      </c>
      <c r="BV2">
        <v>3272.5819999999999</v>
      </c>
      <c r="BW2">
        <v>3236.6970000000001</v>
      </c>
      <c r="BX2">
        <v>213.398</v>
      </c>
      <c r="BY2">
        <v>2877.0639999999999</v>
      </c>
      <c r="BZ2">
        <v>4045.8719999999998</v>
      </c>
      <c r="CA2">
        <v>2.56</v>
      </c>
      <c r="CB2">
        <v>0</v>
      </c>
      <c r="CC2">
        <v>0</v>
      </c>
      <c r="CD2">
        <v>1</v>
      </c>
      <c r="CE2">
        <v>2</v>
      </c>
      <c r="CF2">
        <v>0</v>
      </c>
    </row>
    <row r="3" spans="1:84" x14ac:dyDescent="0.35">
      <c r="A3" t="s">
        <v>276</v>
      </c>
      <c r="B3" t="str">
        <f t="shared" si="0"/>
        <v xml:space="preserve"> ag_te_2004_05_26_499</v>
      </c>
      <c r="C3" s="1">
        <f t="shared" si="1"/>
        <v>45761</v>
      </c>
      <c r="D3" t="s">
        <v>78</v>
      </c>
      <c r="E3">
        <v>234.68299999999999</v>
      </c>
      <c r="F3">
        <v>234.39599999999999</v>
      </c>
      <c r="G3">
        <v>2.2850000000000001</v>
      </c>
      <c r="H3">
        <v>231.93100000000001</v>
      </c>
      <c r="I3">
        <v>0.61756756756756759</v>
      </c>
      <c r="J3">
        <v>254.91300000000001</v>
      </c>
      <c r="K3">
        <v>0</v>
      </c>
      <c r="L3">
        <v>0.23400000000000001</v>
      </c>
      <c r="M3">
        <v>-32.210999999999999</v>
      </c>
      <c r="N3">
        <v>506.42399999999998</v>
      </c>
      <c r="O3">
        <v>510.81099999999998</v>
      </c>
      <c r="P3">
        <v>92.465999999999994</v>
      </c>
      <c r="Q3">
        <v>283.78399999999999</v>
      </c>
      <c r="R3">
        <v>1021.622</v>
      </c>
      <c r="S3">
        <v>1169.683</v>
      </c>
      <c r="T3">
        <v>1135.135</v>
      </c>
      <c r="U3">
        <v>69.995000000000005</v>
      </c>
      <c r="V3">
        <v>1078.3779999999999</v>
      </c>
      <c r="W3">
        <v>1702.703</v>
      </c>
      <c r="X3">
        <v>2501.1170000000002</v>
      </c>
      <c r="Y3">
        <v>2440.5410000000002</v>
      </c>
      <c r="Z3">
        <v>296.49700000000001</v>
      </c>
      <c r="AA3">
        <v>1929.73</v>
      </c>
      <c r="AB3">
        <v>3291.8919999999998</v>
      </c>
      <c r="AC3">
        <v>3.7</v>
      </c>
      <c r="AD3">
        <v>233.64</v>
      </c>
      <c r="AE3">
        <v>233.51</v>
      </c>
      <c r="AF3">
        <v>2.3490000000000002</v>
      </c>
      <c r="AG3">
        <v>230.20099999999999</v>
      </c>
      <c r="AH3">
        <v>0.81137931034482769</v>
      </c>
      <c r="AI3">
        <v>259.41199999999998</v>
      </c>
      <c r="AJ3">
        <v>0</v>
      </c>
      <c r="AK3">
        <v>0.25</v>
      </c>
      <c r="AL3">
        <v>-34.167000000000002</v>
      </c>
      <c r="AM3">
        <v>286.58999999999997</v>
      </c>
      <c r="AN3">
        <v>284.149</v>
      </c>
      <c r="AO3">
        <v>11.557</v>
      </c>
      <c r="AP3">
        <v>284.149</v>
      </c>
      <c r="AQ3">
        <v>340.97899999999998</v>
      </c>
      <c r="AR3">
        <v>1920.289</v>
      </c>
      <c r="AS3">
        <v>1932.2159999999999</v>
      </c>
      <c r="AT3">
        <v>109.21</v>
      </c>
      <c r="AU3">
        <v>1534.4069999999999</v>
      </c>
      <c r="AV3">
        <v>2159.5360000000001</v>
      </c>
      <c r="AW3">
        <v>3435.2449999999999</v>
      </c>
      <c r="AX3">
        <v>3409.7939999999999</v>
      </c>
      <c r="AY3">
        <v>117.48099999999999</v>
      </c>
      <c r="AZ3">
        <v>3239.3040000000001</v>
      </c>
      <c r="BA3">
        <v>3921.2629999999999</v>
      </c>
      <c r="BB3">
        <v>2.9</v>
      </c>
      <c r="BC3">
        <v>238.03299999999999</v>
      </c>
      <c r="BD3">
        <v>237.64400000000001</v>
      </c>
      <c r="BE3">
        <v>2.4180000000000001</v>
      </c>
      <c r="BF3">
        <v>234.21899999999999</v>
      </c>
      <c r="BG3">
        <v>0.98284671532846712</v>
      </c>
      <c r="BH3">
        <v>250.77199999999999</v>
      </c>
      <c r="BI3">
        <v>0</v>
      </c>
      <c r="BJ3">
        <v>0.216</v>
      </c>
      <c r="BK3">
        <v>-31.655999999999999</v>
      </c>
      <c r="BL3">
        <v>403.43599999999998</v>
      </c>
      <c r="BM3">
        <v>405.65</v>
      </c>
      <c r="BN3">
        <v>27.75</v>
      </c>
      <c r="BO3">
        <v>289.75</v>
      </c>
      <c r="BP3">
        <v>637.45100000000002</v>
      </c>
      <c r="BQ3">
        <v>1044.884</v>
      </c>
      <c r="BR3">
        <v>1043.1010000000001</v>
      </c>
      <c r="BS3">
        <v>52.994</v>
      </c>
      <c r="BT3">
        <v>985.15099999999995</v>
      </c>
      <c r="BU3">
        <v>1332.8520000000001</v>
      </c>
      <c r="BV3">
        <v>4077.5439999999999</v>
      </c>
      <c r="BW3">
        <v>4114.4549999999999</v>
      </c>
      <c r="BX3">
        <v>174.48699999999999</v>
      </c>
      <c r="BY3">
        <v>3187.2539999999999</v>
      </c>
      <c r="BZ3">
        <v>4462.1549999999997</v>
      </c>
      <c r="CA3">
        <v>2.74</v>
      </c>
    </row>
    <row r="4" spans="1:84" x14ac:dyDescent="0.35">
      <c r="A4" t="s">
        <v>277</v>
      </c>
      <c r="B4" t="str">
        <f t="shared" si="0"/>
        <v xml:space="preserve"> al_bo_2002_07_25_563</v>
      </c>
      <c r="C4" s="1">
        <f t="shared" si="1"/>
        <v>45761</v>
      </c>
      <c r="D4" t="s">
        <v>78</v>
      </c>
      <c r="E4">
        <v>165.89099999999999</v>
      </c>
      <c r="F4">
        <v>165.08</v>
      </c>
      <c r="G4">
        <v>4.383</v>
      </c>
      <c r="H4">
        <v>162.559</v>
      </c>
      <c r="I4">
        <v>0.30181818181818182</v>
      </c>
      <c r="J4">
        <v>194.518</v>
      </c>
      <c r="K4">
        <v>0</v>
      </c>
      <c r="L4">
        <v>0.504</v>
      </c>
      <c r="M4">
        <v>-29.327999999999999</v>
      </c>
      <c r="N4">
        <v>470.404</v>
      </c>
      <c r="O4">
        <v>435.84899999999999</v>
      </c>
      <c r="P4">
        <v>85.046000000000006</v>
      </c>
      <c r="Q4">
        <v>356.60399999999998</v>
      </c>
      <c r="R4">
        <v>871.69799999999998</v>
      </c>
      <c r="S4">
        <v>1057.7739999999999</v>
      </c>
      <c r="T4">
        <v>1069.8109999999999</v>
      </c>
      <c r="U4">
        <v>35.527000000000001</v>
      </c>
      <c r="V4">
        <v>990.56600000000003</v>
      </c>
      <c r="W4">
        <v>1188.6790000000001</v>
      </c>
      <c r="X4">
        <v>3887.6260000000002</v>
      </c>
      <c r="Y4">
        <v>3902.83</v>
      </c>
      <c r="Z4">
        <v>241.239</v>
      </c>
      <c r="AA4">
        <v>3130.1889999999999</v>
      </c>
      <c r="AB4">
        <v>4358.491</v>
      </c>
      <c r="AC4">
        <v>2.2000000000000002</v>
      </c>
      <c r="AD4">
        <v>169.554</v>
      </c>
      <c r="AE4">
        <v>165.87899999999999</v>
      </c>
      <c r="AF4">
        <v>14.776999999999999</v>
      </c>
      <c r="AG4">
        <v>163.506</v>
      </c>
      <c r="AH4">
        <v>0.4151515151515151</v>
      </c>
      <c r="AI4">
        <v>267.73599999999999</v>
      </c>
      <c r="AJ4">
        <v>0</v>
      </c>
      <c r="AK4">
        <v>0.96199999999999997</v>
      </c>
      <c r="AL4">
        <v>-31.327999999999999</v>
      </c>
      <c r="AM4">
        <v>326.04199999999997</v>
      </c>
      <c r="AN4">
        <v>325.46100000000001</v>
      </c>
      <c r="AO4">
        <v>12.945</v>
      </c>
      <c r="AP4">
        <v>284.779</v>
      </c>
      <c r="AQ4">
        <v>406.827</v>
      </c>
      <c r="AR4">
        <v>1821.0840000000001</v>
      </c>
      <c r="AS4">
        <v>1830.72</v>
      </c>
      <c r="AT4">
        <v>191.154</v>
      </c>
      <c r="AU4">
        <v>1261.162</v>
      </c>
      <c r="AV4">
        <v>2359.5940000000001</v>
      </c>
      <c r="AW4">
        <v>4294.8530000000001</v>
      </c>
      <c r="AX4">
        <v>4353.0439999999999</v>
      </c>
      <c r="AY4">
        <v>289.04500000000002</v>
      </c>
      <c r="AZ4">
        <v>3010.5169999999998</v>
      </c>
      <c r="BA4">
        <v>4800.5540000000001</v>
      </c>
      <c r="BB4">
        <v>1.98</v>
      </c>
      <c r="BC4">
        <v>166.51499999999999</v>
      </c>
      <c r="BD4">
        <v>165.78899999999999</v>
      </c>
      <c r="BE4">
        <v>4.4089999999999998</v>
      </c>
      <c r="BF4">
        <v>157.661</v>
      </c>
      <c r="BG4">
        <v>0.15151515151515152</v>
      </c>
      <c r="BH4">
        <v>191.501</v>
      </c>
      <c r="BI4">
        <v>1.0101010101010102E-2</v>
      </c>
      <c r="BJ4">
        <v>0.79500000000000004</v>
      </c>
      <c r="BK4">
        <v>-30.587</v>
      </c>
      <c r="BL4">
        <v>314.50599999999997</v>
      </c>
      <c r="BM4">
        <v>318.69900000000001</v>
      </c>
      <c r="BN4">
        <v>12.561</v>
      </c>
      <c r="BO4">
        <v>278.86200000000002</v>
      </c>
      <c r="BP4">
        <v>318.69900000000001</v>
      </c>
      <c r="BQ4">
        <v>1204.76</v>
      </c>
      <c r="BR4">
        <v>1155.2850000000001</v>
      </c>
      <c r="BS4">
        <v>139.44200000000001</v>
      </c>
      <c r="BT4">
        <v>1035.7719999999999</v>
      </c>
      <c r="BU4">
        <v>1633.3330000000001</v>
      </c>
      <c r="BV4">
        <v>3236.5329999999999</v>
      </c>
      <c r="BW4">
        <v>3226.8290000000002</v>
      </c>
      <c r="BX4">
        <v>243.483</v>
      </c>
      <c r="BY4">
        <v>2708.9430000000002</v>
      </c>
      <c r="BZ4">
        <v>3904.0650000000001</v>
      </c>
      <c r="CA4">
        <v>1.98</v>
      </c>
      <c r="CB4">
        <v>8</v>
      </c>
      <c r="CC4">
        <v>2</v>
      </c>
      <c r="CD4">
        <v>4</v>
      </c>
      <c r="CE4">
        <v>2</v>
      </c>
      <c r="CF4">
        <v>3</v>
      </c>
    </row>
    <row r="5" spans="1:84" x14ac:dyDescent="0.35">
      <c r="A5" t="s">
        <v>278</v>
      </c>
      <c r="B5" t="str">
        <f t="shared" si="0"/>
        <v xml:space="preserve"> al_ca_2001_02_11_269</v>
      </c>
      <c r="C5" s="1">
        <f t="shared" si="1"/>
        <v>45761</v>
      </c>
      <c r="D5" t="s">
        <v>78</v>
      </c>
      <c r="E5">
        <v>189.96199999999999</v>
      </c>
      <c r="F5">
        <v>191.14599999999999</v>
      </c>
      <c r="G5">
        <v>11.917</v>
      </c>
      <c r="H5">
        <v>106.854</v>
      </c>
      <c r="I5">
        <v>0</v>
      </c>
      <c r="J5">
        <v>201.501</v>
      </c>
      <c r="K5">
        <v>1.9166666666666669E-2</v>
      </c>
      <c r="L5">
        <v>1.968</v>
      </c>
      <c r="M5">
        <v>-29.195</v>
      </c>
      <c r="N5">
        <v>520.64400000000001</v>
      </c>
      <c r="O5">
        <v>533.46799999999996</v>
      </c>
      <c r="P5">
        <v>38.712000000000003</v>
      </c>
      <c r="Q5">
        <v>444.55599999999998</v>
      </c>
      <c r="R5">
        <v>577.923</v>
      </c>
      <c r="S5">
        <v>960.00199999999995</v>
      </c>
      <c r="T5">
        <v>978.024</v>
      </c>
      <c r="U5">
        <v>30.475999999999999</v>
      </c>
      <c r="V5">
        <v>933.56899999999996</v>
      </c>
      <c r="W5">
        <v>1066.9349999999999</v>
      </c>
      <c r="X5">
        <v>2737.442</v>
      </c>
      <c r="Y5">
        <v>2734.0219999999999</v>
      </c>
      <c r="Z5">
        <v>108.661</v>
      </c>
      <c r="AA5">
        <v>2445.06</v>
      </c>
      <c r="AB5">
        <v>2978.5279999999998</v>
      </c>
      <c r="AC5">
        <v>1.2</v>
      </c>
      <c r="AD5">
        <v>204.59700000000001</v>
      </c>
      <c r="AE5">
        <v>202.029</v>
      </c>
      <c r="AF5">
        <v>12.561</v>
      </c>
      <c r="AG5">
        <v>197.75800000000001</v>
      </c>
      <c r="AH5">
        <v>0.34492753623188405</v>
      </c>
      <c r="AI5">
        <v>297.97300000000001</v>
      </c>
      <c r="AJ5">
        <v>0</v>
      </c>
      <c r="AK5">
        <v>1.087</v>
      </c>
      <c r="AL5">
        <v>-28.388000000000002</v>
      </c>
      <c r="AM5">
        <v>379.40600000000001</v>
      </c>
      <c r="AN5">
        <v>392.43599999999998</v>
      </c>
      <c r="AO5">
        <v>23.521000000000001</v>
      </c>
      <c r="AP5">
        <v>343.38200000000001</v>
      </c>
      <c r="AQ5">
        <v>441.49099999999999</v>
      </c>
      <c r="AR5">
        <v>2290.8449999999998</v>
      </c>
      <c r="AS5">
        <v>2403.6709999999998</v>
      </c>
      <c r="AT5">
        <v>312.86500000000001</v>
      </c>
      <c r="AU5">
        <v>1471.635</v>
      </c>
      <c r="AV5">
        <v>2501.7800000000002</v>
      </c>
      <c r="AW5">
        <v>3123.88</v>
      </c>
      <c r="AX5">
        <v>3090.4340000000002</v>
      </c>
      <c r="AY5">
        <v>169.52799999999999</v>
      </c>
      <c r="AZ5">
        <v>2894.2159999999999</v>
      </c>
      <c r="BA5">
        <v>4120.5780000000004</v>
      </c>
      <c r="BB5">
        <v>1.38</v>
      </c>
      <c r="BC5">
        <v>198.86</v>
      </c>
      <c r="BD5">
        <v>200.45500000000001</v>
      </c>
      <c r="BE5">
        <v>13.648999999999999</v>
      </c>
      <c r="BF5">
        <v>109.197</v>
      </c>
      <c r="BG5">
        <v>0</v>
      </c>
      <c r="BH5">
        <v>213.04300000000001</v>
      </c>
      <c r="BI5">
        <v>2.1000000000000001E-2</v>
      </c>
      <c r="BJ5">
        <v>2.4359999999999999</v>
      </c>
      <c r="BK5">
        <v>-29.07</v>
      </c>
      <c r="BL5">
        <v>389.67599999999999</v>
      </c>
      <c r="BM5">
        <v>385.57400000000001</v>
      </c>
      <c r="BN5">
        <v>13.593999999999999</v>
      </c>
      <c r="BO5">
        <v>385.57400000000001</v>
      </c>
      <c r="BP5">
        <v>433.77</v>
      </c>
      <c r="BQ5">
        <v>995.51199999999994</v>
      </c>
      <c r="BR5">
        <v>1012.131</v>
      </c>
      <c r="BS5">
        <v>37.055999999999997</v>
      </c>
      <c r="BT5">
        <v>963.93399999999997</v>
      </c>
      <c r="BU5">
        <v>1108.5250000000001</v>
      </c>
      <c r="BV5">
        <v>3331.7269999999999</v>
      </c>
      <c r="BW5">
        <v>3373.77</v>
      </c>
      <c r="BX5">
        <v>185.476</v>
      </c>
      <c r="BY5">
        <v>2554.4259999999999</v>
      </c>
      <c r="BZ5">
        <v>3566.5569999999998</v>
      </c>
      <c r="CA5">
        <v>1</v>
      </c>
    </row>
    <row r="6" spans="1:84" x14ac:dyDescent="0.35">
      <c r="A6" t="s">
        <v>279</v>
      </c>
      <c r="B6" t="str">
        <f t="shared" si="0"/>
        <v xml:space="preserve"> al_lo_1999_09_19_127</v>
      </c>
      <c r="C6" s="1">
        <f t="shared" si="1"/>
        <v>45761</v>
      </c>
      <c r="D6" t="s">
        <v>78</v>
      </c>
      <c r="E6">
        <v>191.42</v>
      </c>
      <c r="F6">
        <v>190.673</v>
      </c>
      <c r="G6">
        <v>3.895</v>
      </c>
      <c r="H6">
        <v>187.09100000000001</v>
      </c>
      <c r="I6">
        <v>0.86034482758620701</v>
      </c>
      <c r="J6">
        <v>221.92699999999999</v>
      </c>
      <c r="K6">
        <v>0</v>
      </c>
      <c r="L6">
        <v>0.46500000000000002</v>
      </c>
      <c r="M6">
        <v>-26.44</v>
      </c>
      <c r="N6">
        <v>562.13900000000001</v>
      </c>
      <c r="O6">
        <v>552.40099999999995</v>
      </c>
      <c r="P6">
        <v>64.680000000000007</v>
      </c>
      <c r="Q6">
        <v>322.23399999999998</v>
      </c>
      <c r="R6">
        <v>966.70100000000002</v>
      </c>
      <c r="S6">
        <v>1179.163</v>
      </c>
      <c r="T6">
        <v>1173.8520000000001</v>
      </c>
      <c r="U6">
        <v>51.037999999999997</v>
      </c>
      <c r="V6">
        <v>1058.768</v>
      </c>
      <c r="W6">
        <v>1381.002</v>
      </c>
      <c r="X6">
        <v>2821.19</v>
      </c>
      <c r="Y6">
        <v>2946.1379999999999</v>
      </c>
      <c r="Z6">
        <v>305.73200000000003</v>
      </c>
      <c r="AA6">
        <v>2025.47</v>
      </c>
      <c r="AB6">
        <v>3406.4720000000002</v>
      </c>
      <c r="AC6">
        <v>2.3199999999999998</v>
      </c>
      <c r="AD6">
        <v>206.60499999999999</v>
      </c>
      <c r="AE6">
        <v>208.15899999999999</v>
      </c>
      <c r="AF6">
        <v>13.747</v>
      </c>
      <c r="AG6">
        <v>104.57299999999999</v>
      </c>
      <c r="AH6">
        <v>0</v>
      </c>
      <c r="AI6">
        <v>226.154</v>
      </c>
      <c r="AJ6">
        <v>0.98347457627118662</v>
      </c>
      <c r="AK6">
        <v>1.1299999999999999</v>
      </c>
      <c r="AL6">
        <v>-29.835000000000001</v>
      </c>
      <c r="AM6">
        <v>350.43099999999998</v>
      </c>
      <c r="AN6">
        <v>350</v>
      </c>
      <c r="AO6">
        <v>8064</v>
      </c>
      <c r="AP6">
        <v>300</v>
      </c>
      <c r="AQ6">
        <v>400</v>
      </c>
      <c r="AR6">
        <v>1525</v>
      </c>
      <c r="AS6">
        <v>1525</v>
      </c>
      <c r="AT6">
        <v>35.354999999999997</v>
      </c>
      <c r="AU6">
        <v>1500</v>
      </c>
      <c r="AV6">
        <v>1550</v>
      </c>
      <c r="AW6">
        <v>3883.6210000000001</v>
      </c>
      <c r="AX6">
        <v>3875</v>
      </c>
      <c r="AY6">
        <v>161.35</v>
      </c>
      <c r="AZ6">
        <v>3500</v>
      </c>
      <c r="BA6">
        <v>4500</v>
      </c>
      <c r="BB6">
        <v>2.36</v>
      </c>
      <c r="BC6">
        <v>186.602</v>
      </c>
      <c r="BD6">
        <v>186.41300000000001</v>
      </c>
      <c r="BE6">
        <v>1.74</v>
      </c>
      <c r="BF6">
        <v>178.54300000000001</v>
      </c>
      <c r="BG6">
        <v>0</v>
      </c>
      <c r="BH6">
        <v>196</v>
      </c>
      <c r="BI6">
        <v>0.98984962406015031</v>
      </c>
      <c r="BJ6">
        <v>0.40100000000000002</v>
      </c>
      <c r="BK6">
        <v>-27.785</v>
      </c>
      <c r="BL6">
        <v>357.92500000000001</v>
      </c>
      <c r="BM6">
        <v>355.64499999999998</v>
      </c>
      <c r="BN6">
        <v>9848</v>
      </c>
      <c r="BO6">
        <v>355.64499999999998</v>
      </c>
      <c r="BP6">
        <v>400.101</v>
      </c>
      <c r="BQ6">
        <v>1244.758</v>
      </c>
      <c r="BR6">
        <v>1244.758</v>
      </c>
      <c r="BS6">
        <v>0</v>
      </c>
      <c r="BT6">
        <v>1244.758</v>
      </c>
      <c r="BU6">
        <v>1244.758</v>
      </c>
      <c r="BV6">
        <v>3049.201</v>
      </c>
      <c r="BW6">
        <v>3022.9839999999999</v>
      </c>
      <c r="BX6">
        <v>159.66499999999999</v>
      </c>
      <c r="BY6">
        <v>2756.25</v>
      </c>
      <c r="BZ6">
        <v>3912.0970000000002</v>
      </c>
      <c r="CA6">
        <v>2.66</v>
      </c>
      <c r="CB6">
        <v>5</v>
      </c>
      <c r="CC6">
        <v>6</v>
      </c>
      <c r="CD6">
        <v>0</v>
      </c>
      <c r="CE6">
        <v>2</v>
      </c>
      <c r="CF6">
        <v>0</v>
      </c>
    </row>
    <row r="7" spans="1:84" x14ac:dyDescent="0.35">
      <c r="A7" t="s">
        <v>280</v>
      </c>
      <c r="B7" t="str">
        <f t="shared" si="0"/>
        <v xml:space="preserve"> al_mi_2004_04_28_724</v>
      </c>
      <c r="C7" s="1">
        <f t="shared" si="1"/>
        <v>45761</v>
      </c>
      <c r="D7" t="s">
        <v>78</v>
      </c>
      <c r="E7">
        <v>219.24700000000001</v>
      </c>
      <c r="F7">
        <v>219.559</v>
      </c>
      <c r="G7">
        <v>3.3570000000000002</v>
      </c>
      <c r="H7">
        <v>212.16499999999999</v>
      </c>
      <c r="I7">
        <v>0.25069444444444444</v>
      </c>
      <c r="J7">
        <v>232.98099999999999</v>
      </c>
      <c r="K7">
        <v>0.97499999999999998</v>
      </c>
      <c r="L7">
        <v>0.38900000000000001</v>
      </c>
      <c r="M7">
        <v>-31.158999999999999</v>
      </c>
      <c r="N7">
        <v>629.28800000000001</v>
      </c>
      <c r="O7">
        <v>587.28800000000001</v>
      </c>
      <c r="P7">
        <v>72.001999999999995</v>
      </c>
      <c r="Q7">
        <v>373.72899999999998</v>
      </c>
      <c r="R7">
        <v>854.23699999999997</v>
      </c>
      <c r="S7">
        <v>1094.136</v>
      </c>
      <c r="T7">
        <v>1067.797</v>
      </c>
      <c r="U7">
        <v>29.600999999999999</v>
      </c>
      <c r="V7">
        <v>1067.797</v>
      </c>
      <c r="W7">
        <v>1174.576</v>
      </c>
      <c r="X7">
        <v>2672.3389999999999</v>
      </c>
      <c r="Y7">
        <v>2616.1019999999999</v>
      </c>
      <c r="Z7">
        <v>159.66200000000001</v>
      </c>
      <c r="AA7">
        <v>2402.5419999999999</v>
      </c>
      <c r="AB7">
        <v>3150</v>
      </c>
      <c r="AC7">
        <v>1.44</v>
      </c>
      <c r="AD7">
        <v>230.22499999999999</v>
      </c>
      <c r="AE7">
        <v>229.09100000000001</v>
      </c>
      <c r="AF7">
        <v>5.5919999999999996</v>
      </c>
      <c r="AG7">
        <v>221.92699999999999</v>
      </c>
      <c r="AH7">
        <v>0.97533333333333339</v>
      </c>
      <c r="AI7">
        <v>269.37200000000001</v>
      </c>
      <c r="AJ7">
        <v>0</v>
      </c>
      <c r="AK7">
        <v>0.35399999999999998</v>
      </c>
      <c r="AL7">
        <v>-34.533999999999999</v>
      </c>
      <c r="AM7">
        <v>326.40699999999998</v>
      </c>
      <c r="AN7">
        <v>336.21300000000002</v>
      </c>
      <c r="AO7">
        <v>24.861000000000001</v>
      </c>
      <c r="AP7">
        <v>224.142</v>
      </c>
      <c r="AQ7">
        <v>392.24900000000002</v>
      </c>
      <c r="AR7">
        <v>2358.9609999999998</v>
      </c>
      <c r="AS7">
        <v>2409.5300000000002</v>
      </c>
      <c r="AT7">
        <v>160.58500000000001</v>
      </c>
      <c r="AU7">
        <v>1568.9960000000001</v>
      </c>
      <c r="AV7">
        <v>2465.5650000000001</v>
      </c>
      <c r="AW7">
        <v>3822.72</v>
      </c>
      <c r="AX7">
        <v>3754.384</v>
      </c>
      <c r="AY7">
        <v>181.1</v>
      </c>
      <c r="AZ7">
        <v>3474.2060000000001</v>
      </c>
      <c r="BA7">
        <v>4258.7039999999997</v>
      </c>
      <c r="BB7">
        <v>1.5</v>
      </c>
      <c r="BC7">
        <v>227.93700000000001</v>
      </c>
      <c r="BD7">
        <v>227.15199999999999</v>
      </c>
      <c r="BE7">
        <v>3.8439999999999999</v>
      </c>
      <c r="BF7">
        <v>220.97399999999999</v>
      </c>
      <c r="BG7">
        <v>0.8577464788732394</v>
      </c>
      <c r="BH7">
        <v>249.15299999999999</v>
      </c>
      <c r="BI7">
        <v>0</v>
      </c>
      <c r="BJ7">
        <v>0.39900000000000002</v>
      </c>
      <c r="BK7">
        <v>-31.212</v>
      </c>
      <c r="BL7">
        <v>415.50599999999997</v>
      </c>
      <c r="BM7">
        <v>439.35199999999998</v>
      </c>
      <c r="BN7">
        <v>28.832000000000001</v>
      </c>
      <c r="BO7">
        <v>384.43299999999999</v>
      </c>
      <c r="BP7">
        <v>494.27100000000002</v>
      </c>
      <c r="BQ7">
        <v>1021.645</v>
      </c>
      <c r="BR7">
        <v>1043.462</v>
      </c>
      <c r="BS7">
        <v>38.552</v>
      </c>
      <c r="BT7">
        <v>933.62400000000002</v>
      </c>
      <c r="BU7">
        <v>1153.3</v>
      </c>
      <c r="BV7">
        <v>2933.1109999999999</v>
      </c>
      <c r="BW7">
        <v>2855.7910000000002</v>
      </c>
      <c r="BX7">
        <v>210.74</v>
      </c>
      <c r="BY7">
        <v>2581.1959999999999</v>
      </c>
      <c r="BZ7">
        <v>3404.9810000000002</v>
      </c>
      <c r="CA7">
        <v>1.42</v>
      </c>
      <c r="CB7">
        <v>5</v>
      </c>
      <c r="CC7">
        <v>3</v>
      </c>
      <c r="CD7">
        <v>0</v>
      </c>
      <c r="CE7">
        <v>1</v>
      </c>
      <c r="CF7">
        <v>0</v>
      </c>
    </row>
    <row r="8" spans="1:84" x14ac:dyDescent="0.35">
      <c r="A8" t="s">
        <v>281</v>
      </c>
      <c r="B8" t="str">
        <f t="shared" si="0"/>
        <v xml:space="preserve"> al_mo_2005_10_03_273</v>
      </c>
      <c r="C8" s="1">
        <f t="shared" si="1"/>
        <v>45761</v>
      </c>
      <c r="D8" t="s">
        <v>78</v>
      </c>
      <c r="E8">
        <v>192.61699999999999</v>
      </c>
      <c r="F8">
        <v>192.33600000000001</v>
      </c>
      <c r="G8">
        <v>4.4930000000000003</v>
      </c>
      <c r="H8">
        <v>175.697</v>
      </c>
      <c r="I8">
        <v>1</v>
      </c>
      <c r="J8">
        <v>204.167</v>
      </c>
      <c r="K8">
        <v>2.976190476190476E-2</v>
      </c>
      <c r="L8">
        <v>0.60199999999999998</v>
      </c>
      <c r="M8">
        <v>-19.259</v>
      </c>
      <c r="N8">
        <v>808.81600000000003</v>
      </c>
      <c r="O8">
        <v>795.01599999999996</v>
      </c>
      <c r="P8">
        <v>34.518000000000001</v>
      </c>
      <c r="Q8">
        <v>748.25</v>
      </c>
      <c r="R8">
        <v>888.54700000000003</v>
      </c>
      <c r="S8">
        <v>1342.404</v>
      </c>
      <c r="T8">
        <v>1356.204</v>
      </c>
      <c r="U8">
        <v>54.9</v>
      </c>
      <c r="V8">
        <v>1215.9069999999999</v>
      </c>
      <c r="W8">
        <v>1636.797</v>
      </c>
      <c r="X8">
        <v>2213.3180000000002</v>
      </c>
      <c r="Y8">
        <v>2197.9850000000001</v>
      </c>
      <c r="Z8">
        <v>44.954000000000001</v>
      </c>
      <c r="AA8">
        <v>2057.6880000000001</v>
      </c>
      <c r="AB8">
        <v>2338.2820000000002</v>
      </c>
      <c r="AC8">
        <v>1.3440000000000001</v>
      </c>
      <c r="AD8">
        <v>201.99</v>
      </c>
      <c r="AE8">
        <v>200.065</v>
      </c>
      <c r="AF8">
        <v>5.94</v>
      </c>
      <c r="AG8">
        <v>198.649</v>
      </c>
      <c r="AH8">
        <v>0.57272727272727264</v>
      </c>
      <c r="AI8">
        <v>238.37799999999999</v>
      </c>
      <c r="AJ8">
        <v>0</v>
      </c>
      <c r="AK8">
        <v>0.495</v>
      </c>
      <c r="AL8">
        <v>-24.385000000000002</v>
      </c>
      <c r="AM8">
        <v>364.262</v>
      </c>
      <c r="AN8">
        <v>339.97800000000001</v>
      </c>
      <c r="AO8">
        <v>48.567999999999998</v>
      </c>
      <c r="AP8">
        <v>339.97800000000001</v>
      </c>
      <c r="AQ8">
        <v>437.11500000000001</v>
      </c>
      <c r="AW8">
        <v>3769.6460000000002</v>
      </c>
      <c r="AX8">
        <v>3739.7579999999998</v>
      </c>
      <c r="AY8">
        <v>176.864</v>
      </c>
      <c r="AZ8">
        <v>3496.9160000000002</v>
      </c>
      <c r="BA8">
        <v>4516.8500000000004</v>
      </c>
      <c r="BB8">
        <v>1.1000000000000001</v>
      </c>
      <c r="BC8">
        <v>204.678</v>
      </c>
      <c r="BD8">
        <v>204.98</v>
      </c>
      <c r="BE8">
        <v>26.001000000000001</v>
      </c>
      <c r="BF8">
        <v>107.039</v>
      </c>
      <c r="BG8">
        <v>0.94285714285714295</v>
      </c>
      <c r="BH8">
        <v>320.56099999999998</v>
      </c>
      <c r="BI8">
        <v>0</v>
      </c>
      <c r="BJ8">
        <v>3.6440000000000001</v>
      </c>
      <c r="BK8">
        <v>-29.422999999999998</v>
      </c>
      <c r="BL8">
        <v>396.68700000000001</v>
      </c>
      <c r="BM8">
        <v>397.745</v>
      </c>
      <c r="BN8">
        <v>7252</v>
      </c>
      <c r="BO8">
        <v>348.02699999999999</v>
      </c>
      <c r="BP8">
        <v>397.745</v>
      </c>
      <c r="BV8">
        <v>4198.5389999999998</v>
      </c>
      <c r="BW8">
        <v>4226.0429999999997</v>
      </c>
      <c r="BX8">
        <v>254.953</v>
      </c>
      <c r="BY8">
        <v>3430.5520000000001</v>
      </c>
      <c r="BZ8">
        <v>4822.6610000000001</v>
      </c>
      <c r="CA8">
        <v>0.98</v>
      </c>
      <c r="CB8">
        <v>5</v>
      </c>
      <c r="CC8">
        <v>0</v>
      </c>
      <c r="CD8">
        <v>2</v>
      </c>
      <c r="CE8">
        <v>2</v>
      </c>
      <c r="CF8">
        <v>4</v>
      </c>
    </row>
    <row r="9" spans="1:84" x14ac:dyDescent="0.35">
      <c r="A9" t="s">
        <v>282</v>
      </c>
      <c r="B9" t="str">
        <f t="shared" si="0"/>
        <v xml:space="preserve"> al_pe_2001_04_20_079</v>
      </c>
      <c r="C9" s="1">
        <f t="shared" si="1"/>
        <v>45761</v>
      </c>
      <c r="D9" t="s">
        <v>78</v>
      </c>
      <c r="E9">
        <v>172.74700000000001</v>
      </c>
      <c r="F9">
        <v>172.41</v>
      </c>
      <c r="G9">
        <v>1.5169999999999999</v>
      </c>
      <c r="H9">
        <v>169.52199999999999</v>
      </c>
      <c r="I9">
        <v>8.6746987951807228E-2</v>
      </c>
      <c r="J9">
        <v>177.21</v>
      </c>
      <c r="K9">
        <v>2.0783132530120485E-2</v>
      </c>
      <c r="L9">
        <v>0.36899999999999999</v>
      </c>
      <c r="M9">
        <v>-22.181000000000001</v>
      </c>
      <c r="N9">
        <v>562.07899999999995</v>
      </c>
      <c r="O9">
        <v>577.54899999999998</v>
      </c>
      <c r="P9">
        <v>71.706000000000003</v>
      </c>
      <c r="Q9">
        <v>453.78899999999999</v>
      </c>
      <c r="R9">
        <v>825.07</v>
      </c>
      <c r="S9">
        <v>1091.3140000000001</v>
      </c>
      <c r="T9">
        <v>1072.5909999999999</v>
      </c>
      <c r="U9">
        <v>45.398000000000003</v>
      </c>
      <c r="V9">
        <v>1031.338</v>
      </c>
      <c r="W9">
        <v>1237.605</v>
      </c>
      <c r="X9">
        <v>3513.828</v>
      </c>
      <c r="Y9">
        <v>3485.9209999999998</v>
      </c>
      <c r="Z9">
        <v>303.14499999999998</v>
      </c>
      <c r="AA9">
        <v>2763.9850000000001</v>
      </c>
      <c r="AB9">
        <v>4496.6319999999996</v>
      </c>
      <c r="AC9">
        <v>3.32</v>
      </c>
      <c r="AD9">
        <v>180.50399999999999</v>
      </c>
      <c r="AE9">
        <v>179.16399999999999</v>
      </c>
      <c r="AF9">
        <v>9.7840000000000007</v>
      </c>
      <c r="AG9">
        <v>173.81800000000001</v>
      </c>
      <c r="AH9">
        <v>0.48250000000000004</v>
      </c>
      <c r="AI9">
        <v>264.072</v>
      </c>
      <c r="AJ9">
        <v>0</v>
      </c>
      <c r="AK9">
        <v>0.63500000000000001</v>
      </c>
      <c r="AL9">
        <v>-26.861999999999998</v>
      </c>
      <c r="AM9">
        <v>346.26299999999998</v>
      </c>
      <c r="AN9">
        <v>342.85700000000003</v>
      </c>
      <c r="AO9">
        <v>28.652999999999999</v>
      </c>
      <c r="AP9">
        <v>342.85700000000003</v>
      </c>
      <c r="AQ9">
        <v>685.71400000000006</v>
      </c>
      <c r="AR9">
        <v>1242.857</v>
      </c>
      <c r="AS9">
        <v>1242.857</v>
      </c>
      <c r="AT9">
        <v>0</v>
      </c>
      <c r="AU9">
        <v>1242.857</v>
      </c>
      <c r="AV9">
        <v>1242.857</v>
      </c>
      <c r="AW9">
        <v>3380.1120000000001</v>
      </c>
      <c r="AX9">
        <v>3385.7139999999999</v>
      </c>
      <c r="AY9">
        <v>137.006</v>
      </c>
      <c r="AZ9">
        <v>2871.4290000000001</v>
      </c>
      <c r="BA9">
        <v>3685.7139999999999</v>
      </c>
      <c r="BB9">
        <v>3.6</v>
      </c>
      <c r="BC9">
        <v>190.262</v>
      </c>
      <c r="BD9">
        <v>190.203</v>
      </c>
      <c r="BE9">
        <v>4.1689999999999996</v>
      </c>
      <c r="BF9">
        <v>152.595</v>
      </c>
      <c r="BG9">
        <v>0</v>
      </c>
      <c r="BH9">
        <v>200.45500000000001</v>
      </c>
      <c r="BI9">
        <v>1.4240506329113924E-2</v>
      </c>
      <c r="BJ9">
        <v>0.63900000000000001</v>
      </c>
      <c r="BK9">
        <v>-26.789000000000001</v>
      </c>
      <c r="BL9">
        <v>365.64100000000002</v>
      </c>
      <c r="BM9">
        <v>361.47500000000002</v>
      </c>
      <c r="BN9">
        <v>13.119</v>
      </c>
      <c r="BO9">
        <v>361.47500000000002</v>
      </c>
      <c r="BP9">
        <v>406.66</v>
      </c>
      <c r="BQ9">
        <v>1009.119</v>
      </c>
      <c r="BR9">
        <v>994.05700000000002</v>
      </c>
      <c r="BS9">
        <v>26.087</v>
      </c>
      <c r="BT9">
        <v>994.05700000000002</v>
      </c>
      <c r="BU9">
        <v>1039.242</v>
      </c>
      <c r="BV9">
        <v>3175.4079999999999</v>
      </c>
      <c r="BW9">
        <v>3162.91</v>
      </c>
      <c r="BX9">
        <v>221.69399999999999</v>
      </c>
      <c r="BY9">
        <v>2530.328</v>
      </c>
      <c r="BZ9">
        <v>3614.7539999999999</v>
      </c>
      <c r="CA9">
        <v>3.16</v>
      </c>
    </row>
    <row r="10" spans="1:84" x14ac:dyDescent="0.35">
      <c r="A10" t="s">
        <v>407</v>
      </c>
      <c r="B10" t="str">
        <f t="shared" si="0"/>
        <v xml:space="preserve"> al_sc_2000_09_09_522</v>
      </c>
      <c r="C10" s="1">
        <f t="shared" si="1"/>
        <v>45798</v>
      </c>
      <c r="D10" t="s">
        <v>78</v>
      </c>
      <c r="E10">
        <v>186.541</v>
      </c>
      <c r="F10">
        <v>184.96100000000001</v>
      </c>
      <c r="G10">
        <v>4.6669999999999998</v>
      </c>
      <c r="H10">
        <v>183.53200000000001</v>
      </c>
      <c r="I10">
        <v>0.4791044776119403</v>
      </c>
      <c r="J10">
        <v>210.286</v>
      </c>
      <c r="K10">
        <v>0</v>
      </c>
      <c r="L10">
        <v>0.52800000000000002</v>
      </c>
      <c r="M10">
        <v>-19.321999999999999</v>
      </c>
      <c r="N10">
        <v>728.95100000000002</v>
      </c>
      <c r="O10">
        <v>754.98500000000001</v>
      </c>
      <c r="P10">
        <v>50.625999999999998</v>
      </c>
      <c r="Q10">
        <v>532.93100000000004</v>
      </c>
      <c r="R10">
        <v>843.80700000000002</v>
      </c>
      <c r="S10">
        <v>1122.5229999999999</v>
      </c>
      <c r="T10">
        <v>1110.2719999999999</v>
      </c>
      <c r="U10">
        <v>135.88</v>
      </c>
      <c r="V10">
        <v>1021.45</v>
      </c>
      <c r="W10">
        <v>2087.3110000000001</v>
      </c>
      <c r="X10">
        <v>3133.2640000000001</v>
      </c>
      <c r="Y10">
        <v>3108.761</v>
      </c>
      <c r="Z10">
        <v>133.92500000000001</v>
      </c>
      <c r="AA10">
        <v>2931.1179999999999</v>
      </c>
      <c r="AB10">
        <v>3508.4589999999998</v>
      </c>
      <c r="AC10">
        <v>1.34</v>
      </c>
      <c r="AD10">
        <v>185.25700000000001</v>
      </c>
      <c r="AE10">
        <v>184.62899999999999</v>
      </c>
      <c r="AF10">
        <v>3.8490000000000002</v>
      </c>
      <c r="AG10">
        <v>180.84399999999999</v>
      </c>
      <c r="AH10">
        <v>0.95583333333333342</v>
      </c>
      <c r="AI10">
        <v>202.29400000000001</v>
      </c>
      <c r="AJ10">
        <v>0.97499999999999998</v>
      </c>
      <c r="AK10">
        <v>0.68899999999999995</v>
      </c>
      <c r="AL10">
        <v>-30.111000000000001</v>
      </c>
      <c r="AM10">
        <v>326.00799999999998</v>
      </c>
      <c r="AN10">
        <v>311.19</v>
      </c>
      <c r="AO10">
        <v>22.957000000000001</v>
      </c>
      <c r="AP10">
        <v>311.19</v>
      </c>
      <c r="AQ10">
        <v>355.64499999999998</v>
      </c>
      <c r="AW10">
        <v>3361.5309999999999</v>
      </c>
      <c r="AX10">
        <v>3334.1729999999998</v>
      </c>
      <c r="AY10">
        <v>97.299000000000007</v>
      </c>
      <c r="AZ10">
        <v>3200.806</v>
      </c>
      <c r="BA10">
        <v>3600.9070000000002</v>
      </c>
      <c r="BB10">
        <v>1.2</v>
      </c>
      <c r="BC10">
        <v>189.084</v>
      </c>
      <c r="BD10">
        <v>186.92099999999999</v>
      </c>
      <c r="BE10">
        <v>12.048</v>
      </c>
      <c r="BF10">
        <v>182.55500000000001</v>
      </c>
      <c r="BG10">
        <v>0.15877192982456143</v>
      </c>
      <c r="BH10">
        <v>270.55200000000002</v>
      </c>
      <c r="BI10">
        <v>0.97543859649122822</v>
      </c>
      <c r="BJ10">
        <v>1.042</v>
      </c>
      <c r="BK10">
        <v>-27.19</v>
      </c>
      <c r="BL10">
        <v>360.9</v>
      </c>
      <c r="BM10">
        <v>360</v>
      </c>
      <c r="BN10">
        <v>6364</v>
      </c>
      <c r="BO10">
        <v>360</v>
      </c>
      <c r="BP10">
        <v>405</v>
      </c>
      <c r="BQ10">
        <v>1007.308</v>
      </c>
      <c r="BR10">
        <v>990</v>
      </c>
      <c r="BS10">
        <v>22.786999999999999</v>
      </c>
      <c r="BT10">
        <v>990</v>
      </c>
      <c r="BU10">
        <v>1035</v>
      </c>
      <c r="BV10">
        <v>3820.5</v>
      </c>
      <c r="BW10">
        <v>3825</v>
      </c>
      <c r="BX10">
        <v>413.55799999999999</v>
      </c>
      <c r="BY10">
        <v>2835</v>
      </c>
      <c r="BZ10">
        <v>4905</v>
      </c>
      <c r="CA10">
        <v>1.1399999999999999</v>
      </c>
    </row>
    <row r="11" spans="1:84" x14ac:dyDescent="0.35">
      <c r="A11" t="s">
        <v>283</v>
      </c>
      <c r="B11" t="str">
        <f t="shared" si="0"/>
        <v xml:space="preserve"> al_va_2004_12_16_206</v>
      </c>
      <c r="C11" s="1">
        <f t="shared" si="1"/>
        <v>45761</v>
      </c>
      <c r="D11" t="s">
        <v>78</v>
      </c>
      <c r="E11">
        <v>214.613</v>
      </c>
      <c r="F11">
        <v>214.226</v>
      </c>
      <c r="G11">
        <v>2.2000000000000002</v>
      </c>
      <c r="H11">
        <v>208.01900000000001</v>
      </c>
      <c r="I11">
        <v>8.3333333333333332E-3</v>
      </c>
      <c r="J11">
        <v>228.49700000000001</v>
      </c>
      <c r="K11">
        <v>0.99958333333333338</v>
      </c>
      <c r="L11">
        <v>0.377</v>
      </c>
      <c r="M11">
        <v>-27.658999999999999</v>
      </c>
      <c r="N11">
        <v>637.303</v>
      </c>
      <c r="O11">
        <v>625.53200000000004</v>
      </c>
      <c r="P11">
        <v>52.271000000000001</v>
      </c>
      <c r="Q11">
        <v>364.89400000000001</v>
      </c>
      <c r="R11">
        <v>781.91499999999996</v>
      </c>
      <c r="S11">
        <v>1103.8030000000001</v>
      </c>
      <c r="T11">
        <v>1094.681</v>
      </c>
      <c r="U11">
        <v>45.258000000000003</v>
      </c>
      <c r="V11">
        <v>990.42600000000004</v>
      </c>
      <c r="W11">
        <v>1251.0640000000001</v>
      </c>
      <c r="X11">
        <v>3094.87</v>
      </c>
      <c r="Y11">
        <v>3075.5320000000002</v>
      </c>
      <c r="Z11">
        <v>71.427000000000007</v>
      </c>
      <c r="AA11">
        <v>2919.1489999999999</v>
      </c>
      <c r="AB11">
        <v>3388.2979999999998</v>
      </c>
      <c r="AC11">
        <v>2.4</v>
      </c>
      <c r="AD11">
        <v>216.833</v>
      </c>
      <c r="AE11">
        <v>217.85499999999999</v>
      </c>
      <c r="AF11">
        <v>10.702</v>
      </c>
      <c r="AG11">
        <v>102.38800000000001</v>
      </c>
      <c r="AH11">
        <v>8.4745762711864406E-3</v>
      </c>
      <c r="AI11">
        <v>225.49299999999999</v>
      </c>
      <c r="AJ11">
        <v>2.5000000000000001E-2</v>
      </c>
      <c r="AK11">
        <v>1.319</v>
      </c>
      <c r="AL11">
        <v>-30.678999999999998</v>
      </c>
      <c r="AM11">
        <v>395.05</v>
      </c>
      <c r="AN11">
        <v>417.02100000000002</v>
      </c>
      <c r="AO11">
        <v>26.709</v>
      </c>
      <c r="AP11">
        <v>312.76600000000002</v>
      </c>
      <c r="AQ11">
        <v>417.02100000000002</v>
      </c>
      <c r="AR11">
        <v>2610.1060000000002</v>
      </c>
      <c r="AS11">
        <v>2606.3829999999998</v>
      </c>
      <c r="AT11">
        <v>34.228999999999999</v>
      </c>
      <c r="AU11">
        <v>2450</v>
      </c>
      <c r="AV11">
        <v>2658.511</v>
      </c>
      <c r="AW11">
        <v>2920.431</v>
      </c>
      <c r="AX11">
        <v>2919.1489999999999</v>
      </c>
      <c r="AY11">
        <v>44.688000000000002</v>
      </c>
      <c r="AZ11">
        <v>2867.0210000000002</v>
      </c>
      <c r="BA11">
        <v>3075.5320000000002</v>
      </c>
      <c r="BB11">
        <v>2.36</v>
      </c>
      <c r="BC11">
        <v>223.334</v>
      </c>
      <c r="BD11">
        <v>223.696</v>
      </c>
      <c r="BE11">
        <v>3.8</v>
      </c>
      <c r="BF11">
        <v>187.88800000000001</v>
      </c>
      <c r="BG11">
        <v>8.0645161290322578E-3</v>
      </c>
      <c r="BH11">
        <v>228.49700000000001</v>
      </c>
      <c r="BI11">
        <v>3.0645161290322579E-2</v>
      </c>
      <c r="BJ11">
        <v>0.42799999999999999</v>
      </c>
      <c r="BK11">
        <v>-29.175999999999998</v>
      </c>
      <c r="BL11">
        <v>428.49900000000002</v>
      </c>
      <c r="BM11">
        <v>429.72</v>
      </c>
      <c r="BN11">
        <v>10.422000000000001</v>
      </c>
      <c r="BO11">
        <v>322.29000000000002</v>
      </c>
      <c r="BP11">
        <v>429.72</v>
      </c>
      <c r="BQ11">
        <v>1060.8710000000001</v>
      </c>
      <c r="BR11">
        <v>966.87</v>
      </c>
      <c r="BS11">
        <v>225.24</v>
      </c>
      <c r="BT11">
        <v>913.15499999999997</v>
      </c>
      <c r="BU11">
        <v>1396.59</v>
      </c>
      <c r="BV11">
        <v>3233.0720000000001</v>
      </c>
      <c r="BW11">
        <v>3169.1840000000002</v>
      </c>
      <c r="BX11">
        <v>135.39099999999999</v>
      </c>
      <c r="BY11">
        <v>3061.7539999999999</v>
      </c>
      <c r="BZ11">
        <v>3760.049</v>
      </c>
      <c r="CA11">
        <v>2.48</v>
      </c>
      <c r="CB11">
        <v>8</v>
      </c>
      <c r="CC11">
        <v>2</v>
      </c>
      <c r="CD11">
        <v>2</v>
      </c>
      <c r="CE11">
        <v>4</v>
      </c>
      <c r="CF11">
        <v>6</v>
      </c>
    </row>
    <row r="12" spans="1:84" x14ac:dyDescent="0.35">
      <c r="A12" t="s">
        <v>284</v>
      </c>
      <c r="B12" t="str">
        <f t="shared" si="0"/>
        <v xml:space="preserve"> am_bo_1988_08_24_166</v>
      </c>
      <c r="C12" s="1">
        <f t="shared" si="1"/>
        <v>45761</v>
      </c>
      <c r="D12" t="s">
        <v>78</v>
      </c>
      <c r="E12">
        <v>135.773</v>
      </c>
      <c r="F12">
        <v>135.66300000000001</v>
      </c>
      <c r="G12">
        <v>9.3010000000000002</v>
      </c>
      <c r="H12">
        <v>96.347999999999999</v>
      </c>
      <c r="I12">
        <v>2.2340425531914895E-2</v>
      </c>
      <c r="J12">
        <v>189.27</v>
      </c>
      <c r="K12">
        <v>1.099290780141844E-2</v>
      </c>
      <c r="L12">
        <v>2.339</v>
      </c>
      <c r="M12">
        <v>-23.74</v>
      </c>
      <c r="N12">
        <v>584.41</v>
      </c>
      <c r="O12">
        <v>580.68799999999999</v>
      </c>
      <c r="P12">
        <v>87.462000000000003</v>
      </c>
      <c r="Q12">
        <v>419.38600000000002</v>
      </c>
      <c r="R12">
        <v>871.03099999999995</v>
      </c>
      <c r="S12">
        <v>1313.3579999999999</v>
      </c>
      <c r="T12">
        <v>1322.6769999999999</v>
      </c>
      <c r="U12">
        <v>61.978000000000002</v>
      </c>
      <c r="V12">
        <v>1129.115</v>
      </c>
      <c r="W12">
        <v>1419.4590000000001</v>
      </c>
      <c r="X12">
        <v>2643.2040000000002</v>
      </c>
      <c r="Y12">
        <v>2645.355</v>
      </c>
      <c r="Z12">
        <v>157.584</v>
      </c>
      <c r="AA12">
        <v>2258.23</v>
      </c>
      <c r="AB12">
        <v>2967.9589999999998</v>
      </c>
      <c r="AC12">
        <v>2.82</v>
      </c>
      <c r="AD12">
        <v>133.488</v>
      </c>
      <c r="AE12">
        <v>132.489</v>
      </c>
      <c r="AF12">
        <v>3.7559999999999998</v>
      </c>
      <c r="AG12">
        <v>128.679</v>
      </c>
      <c r="AH12">
        <v>0.97419354838709671</v>
      </c>
      <c r="AI12">
        <v>145.613</v>
      </c>
      <c r="AJ12">
        <v>0</v>
      </c>
      <c r="AK12">
        <v>0.83299999999999996</v>
      </c>
      <c r="AL12">
        <v>-23.023</v>
      </c>
      <c r="AM12">
        <v>341.51799999999997</v>
      </c>
      <c r="AN12">
        <v>350.50599999999997</v>
      </c>
      <c r="AO12">
        <v>21.867999999999999</v>
      </c>
      <c r="AP12">
        <v>318.642</v>
      </c>
      <c r="AQ12">
        <v>382.37</v>
      </c>
      <c r="AR12">
        <v>1497.616</v>
      </c>
      <c r="AS12">
        <v>1497.616</v>
      </c>
      <c r="AT12">
        <v>0</v>
      </c>
      <c r="AU12">
        <v>1497.616</v>
      </c>
      <c r="AV12">
        <v>1497.616</v>
      </c>
      <c r="AW12">
        <v>3190.0929999999998</v>
      </c>
      <c r="AX12">
        <v>3186.4160000000002</v>
      </c>
      <c r="AY12">
        <v>125.998</v>
      </c>
      <c r="AZ12">
        <v>2963.3670000000002</v>
      </c>
      <c r="BA12">
        <v>3536.922</v>
      </c>
      <c r="BB12">
        <v>2.48</v>
      </c>
      <c r="BC12">
        <v>137.67400000000001</v>
      </c>
      <c r="BD12">
        <v>135.87100000000001</v>
      </c>
      <c r="BE12">
        <v>7.673</v>
      </c>
      <c r="BF12">
        <v>128.732</v>
      </c>
      <c r="BG12">
        <v>0.55092592592592593</v>
      </c>
      <c r="BH12">
        <v>174.505</v>
      </c>
      <c r="BI12">
        <v>0.64898989898989901</v>
      </c>
      <c r="BJ12">
        <v>1.512</v>
      </c>
      <c r="BK12">
        <v>-25.228999999999999</v>
      </c>
      <c r="BL12">
        <v>343.995</v>
      </c>
      <c r="BM12">
        <v>334.85199999999998</v>
      </c>
      <c r="BN12">
        <v>41.773000000000003</v>
      </c>
      <c r="BO12">
        <v>293.13099999999997</v>
      </c>
      <c r="BP12">
        <v>521.12300000000005</v>
      </c>
      <c r="BQ12">
        <v>1199.1949999999999</v>
      </c>
      <c r="BR12">
        <v>1205.4670000000001</v>
      </c>
      <c r="BS12">
        <v>107.11799999999999</v>
      </c>
      <c r="BT12">
        <v>1004.556</v>
      </c>
      <c r="BU12">
        <v>1498.2270000000001</v>
      </c>
      <c r="BV12">
        <v>2951.3670000000002</v>
      </c>
      <c r="BW12">
        <v>2946.6970000000001</v>
      </c>
      <c r="BX12">
        <v>110.27</v>
      </c>
      <c r="BY12">
        <v>2712.3009999999999</v>
      </c>
      <c r="BZ12">
        <v>3214.5790000000002</v>
      </c>
      <c r="CA12">
        <v>2.3759999999999999</v>
      </c>
    </row>
    <row r="13" spans="1:84" x14ac:dyDescent="0.35">
      <c r="A13" t="s">
        <v>285</v>
      </c>
      <c r="B13" t="str">
        <f>_xlfn.TEXTBEFORE(_xlfn.TEXTAFTER(A13,"-"),"_ONLY_VOWELS")</f>
        <v xml:space="preserve"> am_or_2005_07_19_155</v>
      </c>
      <c r="C13" s="1">
        <f t="shared" si="1"/>
        <v>45761</v>
      </c>
      <c r="D13" t="s">
        <v>78</v>
      </c>
      <c r="E13">
        <v>188.08099999999999</v>
      </c>
      <c r="F13">
        <v>188.232</v>
      </c>
      <c r="G13">
        <v>2.0510000000000002</v>
      </c>
      <c r="H13">
        <v>182.23099999999999</v>
      </c>
      <c r="I13">
        <v>0</v>
      </c>
      <c r="J13">
        <v>196</v>
      </c>
      <c r="K13">
        <v>0.98111111111111104</v>
      </c>
      <c r="L13">
        <v>0.437</v>
      </c>
      <c r="M13">
        <v>-24.033999999999999</v>
      </c>
      <c r="N13">
        <v>616.90200000000004</v>
      </c>
      <c r="O13">
        <v>633.88099999999997</v>
      </c>
      <c r="P13">
        <v>29.152000000000001</v>
      </c>
      <c r="Q13">
        <v>498.04899999999998</v>
      </c>
      <c r="R13">
        <v>633.88099999999997</v>
      </c>
      <c r="S13">
        <v>1165.0170000000001</v>
      </c>
      <c r="T13">
        <v>1154.569</v>
      </c>
      <c r="U13">
        <v>52.454000000000001</v>
      </c>
      <c r="V13">
        <v>1086.653</v>
      </c>
      <c r="W13">
        <v>1358.316</v>
      </c>
      <c r="X13">
        <v>2941.3209999999999</v>
      </c>
      <c r="Y13">
        <v>2943.018</v>
      </c>
      <c r="Z13">
        <v>167.322</v>
      </c>
      <c r="AA13">
        <v>2490.2460000000001</v>
      </c>
      <c r="AB13">
        <v>3305.2359999999999</v>
      </c>
      <c r="AC13">
        <v>1.8</v>
      </c>
      <c r="AD13">
        <v>184.82400000000001</v>
      </c>
      <c r="AE13">
        <v>186.30099999999999</v>
      </c>
      <c r="AF13">
        <v>10.842000000000001</v>
      </c>
      <c r="AG13">
        <v>98.25</v>
      </c>
      <c r="AH13">
        <v>0</v>
      </c>
      <c r="AI13">
        <v>204.167</v>
      </c>
      <c r="AJ13">
        <v>0.9827380952380953</v>
      </c>
      <c r="AK13">
        <v>1.9159999999999999</v>
      </c>
      <c r="AL13">
        <v>-26.283000000000001</v>
      </c>
      <c r="AM13">
        <v>385.27300000000002</v>
      </c>
      <c r="AN13">
        <v>398.09399999999999</v>
      </c>
      <c r="AO13">
        <v>20.215</v>
      </c>
      <c r="AP13">
        <v>353.86200000000002</v>
      </c>
      <c r="AQ13">
        <v>398.09399999999999</v>
      </c>
      <c r="AR13">
        <v>2397.1660000000002</v>
      </c>
      <c r="AS13">
        <v>2432.7979999999998</v>
      </c>
      <c r="AT13">
        <v>101.149</v>
      </c>
      <c r="AU13">
        <v>2123.17</v>
      </c>
      <c r="AV13">
        <v>2565.4960000000001</v>
      </c>
      <c r="AW13">
        <v>3408.9470000000001</v>
      </c>
      <c r="AX13">
        <v>3405.9180000000001</v>
      </c>
      <c r="AY13">
        <v>146.57900000000001</v>
      </c>
      <c r="AZ13">
        <v>3096.2890000000002</v>
      </c>
      <c r="BA13">
        <v>3848.2449999999999</v>
      </c>
      <c r="BB13">
        <v>1.68</v>
      </c>
      <c r="BC13">
        <v>186.77</v>
      </c>
      <c r="BD13">
        <v>187.43199999999999</v>
      </c>
      <c r="BE13">
        <v>3.2440000000000002</v>
      </c>
      <c r="BF13">
        <v>174.60400000000001</v>
      </c>
      <c r="BG13">
        <v>0</v>
      </c>
      <c r="BH13">
        <v>197.001</v>
      </c>
      <c r="BI13">
        <v>0.97621951219512204</v>
      </c>
      <c r="BJ13">
        <v>0.59399999999999997</v>
      </c>
      <c r="BK13">
        <v>-29.71</v>
      </c>
      <c r="BL13">
        <v>360.19099999999997</v>
      </c>
      <c r="BM13">
        <v>354.57299999999998</v>
      </c>
      <c r="BN13">
        <v>14.851000000000001</v>
      </c>
      <c r="BO13">
        <v>354.57299999999998</v>
      </c>
      <c r="BP13">
        <v>398.89400000000001</v>
      </c>
      <c r="BQ13">
        <v>1034.7739999999999</v>
      </c>
      <c r="BR13">
        <v>1019.397</v>
      </c>
      <c r="BS13">
        <v>58.317999999999998</v>
      </c>
      <c r="BT13">
        <v>975.07500000000005</v>
      </c>
      <c r="BU13">
        <v>1329.6479999999999</v>
      </c>
      <c r="BV13">
        <v>2994.518</v>
      </c>
      <c r="BW13">
        <v>2969.5479999999998</v>
      </c>
      <c r="BX13">
        <v>218.256</v>
      </c>
      <c r="BY13">
        <v>2570.6529999999998</v>
      </c>
      <c r="BZ13">
        <v>3590.05</v>
      </c>
      <c r="CA13">
        <v>1.64</v>
      </c>
      <c r="CB13">
        <v>4</v>
      </c>
      <c r="CC13">
        <v>0</v>
      </c>
      <c r="CD13">
        <v>4</v>
      </c>
      <c r="CE13">
        <v>0</v>
      </c>
      <c r="CF13">
        <v>0</v>
      </c>
    </row>
    <row r="14" spans="1:84" x14ac:dyDescent="0.35">
      <c r="A14" t="s">
        <v>286</v>
      </c>
      <c r="B14" t="str">
        <f t="shared" ref="B14:B34" si="2">_xlfn.TEXTAFTER(A14,"-")</f>
        <v xml:space="preserve"> an_ba_2001_12_27_169</v>
      </c>
      <c r="C14" s="1">
        <f t="shared" si="1"/>
        <v>45761</v>
      </c>
      <c r="D14" t="s">
        <v>78</v>
      </c>
      <c r="E14">
        <v>194.322</v>
      </c>
      <c r="F14">
        <v>194.45699999999999</v>
      </c>
      <c r="G14">
        <v>8.5129999999999999</v>
      </c>
      <c r="H14">
        <v>111.083</v>
      </c>
      <c r="I14">
        <v>0</v>
      </c>
      <c r="J14">
        <v>208.863</v>
      </c>
      <c r="K14">
        <v>0.91321428571428576</v>
      </c>
      <c r="L14">
        <v>1.1970000000000001</v>
      </c>
      <c r="M14">
        <v>-30.129000000000001</v>
      </c>
      <c r="N14">
        <v>599.78899999999999</v>
      </c>
      <c r="O14">
        <v>609.89400000000001</v>
      </c>
      <c r="P14">
        <v>76.608000000000004</v>
      </c>
      <c r="Q14">
        <v>422.23399999999998</v>
      </c>
      <c r="R14">
        <v>1079.0429999999999</v>
      </c>
      <c r="S14">
        <v>1113.6869999999999</v>
      </c>
      <c r="T14">
        <v>1102.5</v>
      </c>
      <c r="U14">
        <v>57.991999999999997</v>
      </c>
      <c r="V14">
        <v>1032.1279999999999</v>
      </c>
      <c r="W14">
        <v>1360.5319999999999</v>
      </c>
      <c r="X14">
        <v>2985.2310000000002</v>
      </c>
      <c r="Y14">
        <v>3002.5529999999999</v>
      </c>
      <c r="Z14">
        <v>144.88300000000001</v>
      </c>
      <c r="AA14">
        <v>2674.1489999999999</v>
      </c>
      <c r="AB14">
        <v>3471.7020000000002</v>
      </c>
      <c r="AC14">
        <v>2.8</v>
      </c>
      <c r="AD14">
        <v>199.029</v>
      </c>
      <c r="AE14">
        <v>198.77699999999999</v>
      </c>
      <c r="AF14">
        <v>3.9809999999999999</v>
      </c>
      <c r="AG14">
        <v>189.154</v>
      </c>
      <c r="AH14">
        <v>9.7500000000000017E-2</v>
      </c>
      <c r="AI14">
        <v>220.65799999999999</v>
      </c>
      <c r="AJ14">
        <v>0</v>
      </c>
      <c r="AK14">
        <v>0.53200000000000003</v>
      </c>
      <c r="AL14">
        <v>-29.838000000000001</v>
      </c>
      <c r="AM14">
        <v>331.41</v>
      </c>
      <c r="AN14">
        <v>335.90899999999999</v>
      </c>
      <c r="AO14">
        <v>22.103999999999999</v>
      </c>
      <c r="AP14">
        <v>287.92200000000003</v>
      </c>
      <c r="AQ14">
        <v>479.86900000000003</v>
      </c>
      <c r="AR14">
        <v>2159.8879999999999</v>
      </c>
      <c r="AS14">
        <v>2159.4119999999998</v>
      </c>
      <c r="AT14">
        <v>183.29400000000001</v>
      </c>
      <c r="AU14">
        <v>1391.6210000000001</v>
      </c>
      <c r="AV14">
        <v>2543.308</v>
      </c>
      <c r="AW14">
        <v>3954.0520000000001</v>
      </c>
      <c r="AX14">
        <v>3982.9160000000002</v>
      </c>
      <c r="AY14">
        <v>146.357</v>
      </c>
      <c r="AZ14">
        <v>3263.1120000000001</v>
      </c>
      <c r="BA14">
        <v>4318.8249999999998</v>
      </c>
      <c r="BB14">
        <v>2.8</v>
      </c>
      <c r="BC14">
        <v>198.035</v>
      </c>
      <c r="BD14">
        <v>199.548</v>
      </c>
      <c r="BE14">
        <v>12.664999999999999</v>
      </c>
      <c r="BF14">
        <v>98.658000000000001</v>
      </c>
      <c r="BG14">
        <v>0.33034482758620687</v>
      </c>
      <c r="BH14">
        <v>206.76499999999999</v>
      </c>
      <c r="BI14">
        <v>0.5141379310344828</v>
      </c>
      <c r="BJ14">
        <v>1.9830000000000001</v>
      </c>
      <c r="BK14">
        <v>-29.827999999999999</v>
      </c>
      <c r="BL14">
        <v>328.38</v>
      </c>
      <c r="BM14">
        <v>330.86799999999999</v>
      </c>
      <c r="BN14">
        <v>15.975</v>
      </c>
      <c r="BO14">
        <v>283.601</v>
      </c>
      <c r="BP14">
        <v>425.40199999999999</v>
      </c>
      <c r="BQ14">
        <v>1025.241</v>
      </c>
      <c r="BR14">
        <v>992.60500000000002</v>
      </c>
      <c r="BS14">
        <v>89.492999999999995</v>
      </c>
      <c r="BT14">
        <v>945.33799999999997</v>
      </c>
      <c r="BU14">
        <v>1323.473</v>
      </c>
      <c r="BV14">
        <v>3690.2919999999999</v>
      </c>
      <c r="BW14">
        <v>3686.817</v>
      </c>
      <c r="BX14">
        <v>217.90899999999999</v>
      </c>
      <c r="BY14">
        <v>2788.7460000000001</v>
      </c>
      <c r="BZ14">
        <v>4112.2190000000001</v>
      </c>
      <c r="CA14">
        <v>2.9</v>
      </c>
      <c r="CB14">
        <v>4</v>
      </c>
      <c r="CC14">
        <v>3</v>
      </c>
      <c r="CD14">
        <v>2</v>
      </c>
      <c r="CE14">
        <v>3</v>
      </c>
      <c r="CF14">
        <v>1</v>
      </c>
    </row>
    <row r="15" spans="1:84" x14ac:dyDescent="0.35">
      <c r="A15" t="s">
        <v>287</v>
      </c>
      <c r="B15" t="str">
        <f t="shared" si="2"/>
        <v xml:space="preserve"> an_ca_2002_02_24_956</v>
      </c>
      <c r="C15" s="1">
        <f t="shared" si="1"/>
        <v>45761</v>
      </c>
      <c r="D15" t="s">
        <v>78</v>
      </c>
      <c r="E15">
        <v>197.63</v>
      </c>
      <c r="F15">
        <v>196.93799999999999</v>
      </c>
      <c r="G15">
        <v>3.681</v>
      </c>
      <c r="H15">
        <v>180.315</v>
      </c>
      <c r="I15">
        <v>0.99938271604938267</v>
      </c>
      <c r="J15">
        <v>205.38900000000001</v>
      </c>
      <c r="K15">
        <v>0.68333333333333324</v>
      </c>
      <c r="L15">
        <v>0.60899999999999999</v>
      </c>
      <c r="M15">
        <v>-21.428000000000001</v>
      </c>
      <c r="N15">
        <v>692.81399999999996</v>
      </c>
      <c r="O15">
        <v>712.82299999999998</v>
      </c>
      <c r="P15">
        <v>46.082000000000001</v>
      </c>
      <c r="Q15">
        <v>570.25900000000001</v>
      </c>
      <c r="R15">
        <v>807.86599999999999</v>
      </c>
      <c r="S15">
        <v>1076.1130000000001</v>
      </c>
      <c r="T15">
        <v>1092.9960000000001</v>
      </c>
      <c r="U15">
        <v>30.751999999999999</v>
      </c>
      <c r="V15">
        <v>1045.4739999999999</v>
      </c>
      <c r="W15">
        <v>1188.039</v>
      </c>
      <c r="X15">
        <v>2714.3560000000002</v>
      </c>
      <c r="Y15">
        <v>2613.6849999999999</v>
      </c>
      <c r="Z15">
        <v>262.24200000000002</v>
      </c>
      <c r="AA15">
        <v>2328.556</v>
      </c>
      <c r="AB15">
        <v>3374.03</v>
      </c>
      <c r="AC15">
        <v>1.62</v>
      </c>
      <c r="AD15">
        <v>203.64099999999999</v>
      </c>
      <c r="AE15">
        <v>203.62799999999999</v>
      </c>
      <c r="AF15">
        <v>1.95</v>
      </c>
      <c r="AG15">
        <v>199.29</v>
      </c>
      <c r="AH15">
        <v>0.7012658227848102</v>
      </c>
      <c r="AI15">
        <v>209.14599999999999</v>
      </c>
      <c r="AJ15">
        <v>0.94810126582278476</v>
      </c>
      <c r="AK15">
        <v>0.45600000000000002</v>
      </c>
      <c r="AL15">
        <v>-29.981999999999999</v>
      </c>
      <c r="AM15">
        <v>344.49299999999999</v>
      </c>
      <c r="AN15">
        <v>345.30200000000002</v>
      </c>
      <c r="AO15">
        <v>6316</v>
      </c>
      <c r="AP15">
        <v>295.97300000000001</v>
      </c>
      <c r="AQ15">
        <v>345.30200000000002</v>
      </c>
      <c r="AR15">
        <v>2410.8359999999998</v>
      </c>
      <c r="AS15">
        <v>2466.4430000000002</v>
      </c>
      <c r="AT15">
        <v>171.15799999999999</v>
      </c>
      <c r="AU15">
        <v>1627.8520000000001</v>
      </c>
      <c r="AV15">
        <v>2565.1010000000001</v>
      </c>
      <c r="AW15">
        <v>3317.366</v>
      </c>
      <c r="AX15">
        <v>3305.0340000000001</v>
      </c>
      <c r="AY15">
        <v>182.11600000000001</v>
      </c>
      <c r="AZ15">
        <v>2663.7579999999998</v>
      </c>
      <c r="BA15">
        <v>3650.3359999999998</v>
      </c>
      <c r="BB15">
        <v>1.58</v>
      </c>
      <c r="BC15">
        <v>197.084</v>
      </c>
      <c r="BD15">
        <v>196.249</v>
      </c>
      <c r="BE15">
        <v>4.2329999999999997</v>
      </c>
      <c r="BF15">
        <v>182.447</v>
      </c>
      <c r="BG15">
        <v>0</v>
      </c>
      <c r="BH15">
        <v>209.14599999999999</v>
      </c>
      <c r="BI15">
        <v>3.4677419354838708E-2</v>
      </c>
      <c r="BJ15">
        <v>0.72899999999999998</v>
      </c>
      <c r="BK15">
        <v>-26.425000000000001</v>
      </c>
      <c r="BL15">
        <v>377.32600000000002</v>
      </c>
      <c r="BM15">
        <v>377.32600000000002</v>
      </c>
      <c r="BN15">
        <v>15.722</v>
      </c>
      <c r="BO15">
        <v>330.16</v>
      </c>
      <c r="BP15">
        <v>471.65800000000002</v>
      </c>
      <c r="BQ15">
        <v>1084.8130000000001</v>
      </c>
      <c r="BR15">
        <v>1014.064</v>
      </c>
      <c r="BS15">
        <v>158.78399999999999</v>
      </c>
      <c r="BT15">
        <v>990.48099999999999</v>
      </c>
      <c r="BU15">
        <v>1320.6420000000001</v>
      </c>
      <c r="BV15">
        <v>3035.9859999999999</v>
      </c>
      <c r="BW15">
        <v>3065.7750000000001</v>
      </c>
      <c r="BX15">
        <v>116.43300000000001</v>
      </c>
      <c r="BY15">
        <v>2829.9470000000001</v>
      </c>
      <c r="BZ15">
        <v>3254.4389999999999</v>
      </c>
      <c r="CA15">
        <v>1.24</v>
      </c>
    </row>
    <row r="16" spans="1:84" x14ac:dyDescent="0.35">
      <c r="A16" t="s">
        <v>288</v>
      </c>
      <c r="B16" t="str">
        <f t="shared" si="2"/>
        <v xml:space="preserve"> an_pu_2004_12_28_073</v>
      </c>
      <c r="C16" s="1">
        <f t="shared" si="1"/>
        <v>45761</v>
      </c>
      <c r="D16" t="s">
        <v>78</v>
      </c>
      <c r="E16">
        <v>191.994</v>
      </c>
      <c r="F16">
        <v>191.501</v>
      </c>
      <c r="G16">
        <v>2.4020000000000001</v>
      </c>
      <c r="H16">
        <v>188.11699999999999</v>
      </c>
      <c r="I16">
        <v>0.46398305084745767</v>
      </c>
      <c r="J16">
        <v>202.42599999999999</v>
      </c>
      <c r="K16">
        <v>9.3220338983050852E-3</v>
      </c>
      <c r="L16">
        <v>0.505</v>
      </c>
      <c r="M16">
        <v>-24.472999999999999</v>
      </c>
      <c r="N16">
        <v>596.803</v>
      </c>
      <c r="O16">
        <v>599.68600000000004</v>
      </c>
      <c r="P16">
        <v>61.558999999999997</v>
      </c>
      <c r="Q16">
        <v>507.42700000000002</v>
      </c>
      <c r="R16">
        <v>968.72400000000005</v>
      </c>
      <c r="S16">
        <v>1514.5920000000001</v>
      </c>
      <c r="T16">
        <v>1522.28</v>
      </c>
      <c r="U16">
        <v>114.85899999999999</v>
      </c>
      <c r="V16">
        <v>1199.3720000000001</v>
      </c>
      <c r="W16">
        <v>1799.059</v>
      </c>
      <c r="X16">
        <v>2658.2779999999998</v>
      </c>
      <c r="Y16">
        <v>2629.393</v>
      </c>
      <c r="Z16">
        <v>87.918999999999997</v>
      </c>
      <c r="AA16">
        <v>2491.0039999999999</v>
      </c>
      <c r="AB16">
        <v>2860.0419999999999</v>
      </c>
      <c r="AC16">
        <v>2.36</v>
      </c>
      <c r="AD16">
        <v>192.33799999999999</v>
      </c>
      <c r="AE16">
        <v>189.50299999999999</v>
      </c>
      <c r="AF16">
        <v>16.245000000000001</v>
      </c>
      <c r="AG16">
        <v>185.517</v>
      </c>
      <c r="AH16">
        <v>0.97361111111111109</v>
      </c>
      <c r="AI16">
        <v>315</v>
      </c>
      <c r="AJ16">
        <v>0</v>
      </c>
      <c r="AK16">
        <v>0.79100000000000004</v>
      </c>
      <c r="AL16">
        <v>-24.358000000000001</v>
      </c>
      <c r="AM16">
        <v>324.32100000000003</v>
      </c>
      <c r="AN16">
        <v>319.565</v>
      </c>
      <c r="AO16">
        <v>37.75</v>
      </c>
      <c r="AP16">
        <v>319.565</v>
      </c>
      <c r="AQ16">
        <v>684.78300000000002</v>
      </c>
      <c r="AR16">
        <v>2536.61</v>
      </c>
      <c r="AS16">
        <v>2556.5219999999999</v>
      </c>
      <c r="AT16">
        <v>52.951000000000001</v>
      </c>
      <c r="AU16">
        <v>2282.6089999999999</v>
      </c>
      <c r="AV16">
        <v>2602.174</v>
      </c>
      <c r="AW16">
        <v>3479.4490000000001</v>
      </c>
      <c r="AX16">
        <v>3469.5650000000001</v>
      </c>
      <c r="AY16">
        <v>144.249</v>
      </c>
      <c r="AZ16">
        <v>3104.348</v>
      </c>
      <c r="BA16">
        <v>3971.739</v>
      </c>
      <c r="BB16">
        <v>2.16</v>
      </c>
      <c r="BC16">
        <v>188.86799999999999</v>
      </c>
      <c r="BD16">
        <v>192.09700000000001</v>
      </c>
      <c r="BE16">
        <v>17.774999999999999</v>
      </c>
      <c r="BF16">
        <v>97.075000000000003</v>
      </c>
      <c r="BG16">
        <v>0.83237704918032795</v>
      </c>
      <c r="BH16">
        <v>201.37</v>
      </c>
      <c r="BI16">
        <v>0.99918032786885258</v>
      </c>
      <c r="BJ16">
        <v>3.1320000000000001</v>
      </c>
      <c r="BK16">
        <v>-25.513000000000002</v>
      </c>
      <c r="BL16">
        <v>362.875</v>
      </c>
      <c r="BM16">
        <v>357.447</v>
      </c>
      <c r="BN16">
        <v>14.666</v>
      </c>
      <c r="BO16">
        <v>357.447</v>
      </c>
      <c r="BP16">
        <v>402.12799999999999</v>
      </c>
      <c r="BQ16">
        <v>1041.373</v>
      </c>
      <c r="BR16">
        <v>1027.6600000000001</v>
      </c>
      <c r="BS16">
        <v>45.011000000000003</v>
      </c>
      <c r="BT16">
        <v>982.97900000000004</v>
      </c>
      <c r="BU16">
        <v>1251.0640000000001</v>
      </c>
      <c r="BV16">
        <v>4071.7489999999998</v>
      </c>
      <c r="BW16">
        <v>4065.9569999999999</v>
      </c>
      <c r="BX16">
        <v>172.35599999999999</v>
      </c>
      <c r="BY16">
        <v>3619.1489999999999</v>
      </c>
      <c r="BZ16">
        <v>4468.085</v>
      </c>
      <c r="CA16">
        <v>2.44</v>
      </c>
      <c r="CB16">
        <v>6</v>
      </c>
      <c r="CC16">
        <v>2</v>
      </c>
      <c r="CD16">
        <v>0</v>
      </c>
      <c r="CE16">
        <v>3</v>
      </c>
      <c r="CF16">
        <v>2</v>
      </c>
    </row>
    <row r="17" spans="1:84" x14ac:dyDescent="0.35">
      <c r="A17" t="s">
        <v>289</v>
      </c>
      <c r="B17" t="str">
        <f t="shared" si="2"/>
        <v xml:space="preserve"> an_ra_2004_06_07_770</v>
      </c>
      <c r="C17" s="1">
        <f t="shared" si="1"/>
        <v>45761</v>
      </c>
      <c r="D17" t="s">
        <v>78</v>
      </c>
      <c r="E17">
        <v>186.93899999999999</v>
      </c>
      <c r="F17">
        <v>186.97800000000001</v>
      </c>
      <c r="G17">
        <v>2.448</v>
      </c>
      <c r="H17">
        <v>181.268</v>
      </c>
      <c r="I17">
        <v>0.86927710843373507</v>
      </c>
      <c r="J17">
        <v>196.249</v>
      </c>
      <c r="K17">
        <v>0</v>
      </c>
      <c r="L17">
        <v>0.33300000000000002</v>
      </c>
      <c r="M17">
        <v>-25.148</v>
      </c>
      <c r="N17">
        <v>646.53800000000001</v>
      </c>
      <c r="O17">
        <v>664.82399999999996</v>
      </c>
      <c r="P17">
        <v>36.186999999999998</v>
      </c>
      <c r="Q17">
        <v>576.18100000000004</v>
      </c>
      <c r="R17">
        <v>842.11099999999999</v>
      </c>
      <c r="S17">
        <v>1077.549</v>
      </c>
      <c r="T17">
        <v>1108.04</v>
      </c>
      <c r="U17">
        <v>79.132000000000005</v>
      </c>
      <c r="V17">
        <v>975.07500000000005</v>
      </c>
      <c r="W17">
        <v>1285.327</v>
      </c>
      <c r="X17">
        <v>2948.2979999999998</v>
      </c>
      <c r="Y17">
        <v>2925.2260000000001</v>
      </c>
      <c r="Z17">
        <v>364.9</v>
      </c>
      <c r="AA17">
        <v>2171.759</v>
      </c>
      <c r="AB17">
        <v>3944.623</v>
      </c>
      <c r="AC17">
        <v>3.32</v>
      </c>
      <c r="AD17">
        <v>185.285</v>
      </c>
      <c r="AE17">
        <v>185.29400000000001</v>
      </c>
      <c r="AF17">
        <v>2.4460000000000002</v>
      </c>
      <c r="AG17">
        <v>171.02500000000001</v>
      </c>
      <c r="AH17">
        <v>0</v>
      </c>
      <c r="AI17">
        <v>195.13300000000001</v>
      </c>
      <c r="AJ17">
        <v>0.98835616438356166</v>
      </c>
      <c r="AK17">
        <v>0.48199999999999998</v>
      </c>
      <c r="AL17">
        <v>-30.763000000000002</v>
      </c>
      <c r="AM17">
        <v>355.19499999999999</v>
      </c>
      <c r="AN17">
        <v>352.096</v>
      </c>
      <c r="AO17">
        <v>26.116</v>
      </c>
      <c r="AP17">
        <v>352.096</v>
      </c>
      <c r="AQ17">
        <v>572.15599999999995</v>
      </c>
      <c r="AR17">
        <v>1969.5360000000001</v>
      </c>
      <c r="AS17">
        <v>2024.5509999999999</v>
      </c>
      <c r="AT17">
        <v>227.56100000000001</v>
      </c>
      <c r="AU17">
        <v>1584.431</v>
      </c>
      <c r="AV17">
        <v>2244.6109999999999</v>
      </c>
      <c r="AW17">
        <v>3709.1350000000002</v>
      </c>
      <c r="AX17">
        <v>3697.0059999999999</v>
      </c>
      <c r="AY17">
        <v>168.15799999999999</v>
      </c>
      <c r="AZ17">
        <v>2948.8020000000001</v>
      </c>
      <c r="BA17">
        <v>4401.1980000000003</v>
      </c>
      <c r="BB17">
        <v>2.92</v>
      </c>
      <c r="BC17">
        <v>185.28800000000001</v>
      </c>
      <c r="BD17">
        <v>184.96100000000001</v>
      </c>
      <c r="BE17">
        <v>2.923</v>
      </c>
      <c r="BF17">
        <v>170.93</v>
      </c>
      <c r="BG17">
        <v>0.98825503355704691</v>
      </c>
      <c r="BH17">
        <v>194.273</v>
      </c>
      <c r="BI17">
        <v>7.7181208053691275E-3</v>
      </c>
      <c r="BJ17">
        <v>0.46600000000000003</v>
      </c>
      <c r="BK17">
        <v>-31.506</v>
      </c>
      <c r="BL17">
        <v>354.24299999999999</v>
      </c>
      <c r="BM17">
        <v>353.15300000000002</v>
      </c>
      <c r="BN17">
        <v>6893</v>
      </c>
      <c r="BO17">
        <v>353.15300000000002</v>
      </c>
      <c r="BP17">
        <v>397.29700000000003</v>
      </c>
      <c r="BQ17">
        <v>1126.2950000000001</v>
      </c>
      <c r="BR17">
        <v>1103.604</v>
      </c>
      <c r="BS17">
        <v>53.334000000000003</v>
      </c>
      <c r="BT17">
        <v>1015.3150000000001</v>
      </c>
      <c r="BU17">
        <v>1236.0360000000001</v>
      </c>
      <c r="BV17">
        <v>2964.1089999999999</v>
      </c>
      <c r="BW17">
        <v>2957.6579999999999</v>
      </c>
      <c r="BX17">
        <v>169.60400000000001</v>
      </c>
      <c r="BY17">
        <v>2604.5050000000001</v>
      </c>
      <c r="BZ17">
        <v>3708.1080000000002</v>
      </c>
      <c r="CA17">
        <v>2.98</v>
      </c>
      <c r="CB17">
        <v>5</v>
      </c>
      <c r="CC17">
        <v>6</v>
      </c>
      <c r="CD17">
        <v>3</v>
      </c>
      <c r="CE17">
        <v>4</v>
      </c>
      <c r="CF17">
        <v>2</v>
      </c>
    </row>
    <row r="18" spans="1:84" x14ac:dyDescent="0.35">
      <c r="A18" t="s">
        <v>290</v>
      </c>
      <c r="B18" t="str">
        <f t="shared" si="2"/>
        <v xml:space="preserve"> ar_br_2001_08_21_449</v>
      </c>
      <c r="C18" s="1">
        <f t="shared" si="1"/>
        <v>45761</v>
      </c>
      <c r="D18" t="s">
        <v>78</v>
      </c>
      <c r="E18">
        <v>182.072</v>
      </c>
      <c r="F18">
        <v>181.80199999999999</v>
      </c>
      <c r="G18">
        <v>2.762</v>
      </c>
      <c r="H18">
        <v>176.804</v>
      </c>
      <c r="I18">
        <v>0.98362068965517246</v>
      </c>
      <c r="J18">
        <v>202.69200000000001</v>
      </c>
      <c r="K18">
        <v>0</v>
      </c>
      <c r="L18">
        <v>0.44900000000000001</v>
      </c>
      <c r="M18">
        <v>-21.742000000000001</v>
      </c>
      <c r="N18">
        <v>697.11900000000003</v>
      </c>
      <c r="O18">
        <v>694.48800000000006</v>
      </c>
      <c r="P18">
        <v>30.890999999999998</v>
      </c>
      <c r="Q18">
        <v>607.67700000000002</v>
      </c>
      <c r="R18">
        <v>824.70500000000004</v>
      </c>
      <c r="S18">
        <v>1083.1869999999999</v>
      </c>
      <c r="T18">
        <v>1085.1379999999999</v>
      </c>
      <c r="U18">
        <v>91.59</v>
      </c>
      <c r="V18">
        <v>998.327</v>
      </c>
      <c r="W18">
        <v>1606.0039999999999</v>
      </c>
      <c r="X18">
        <v>2704.2950000000001</v>
      </c>
      <c r="Y18">
        <v>2691.1419999999998</v>
      </c>
      <c r="Z18">
        <v>95.953000000000003</v>
      </c>
      <c r="AA18">
        <v>2474.114</v>
      </c>
      <c r="AB18">
        <v>2994.98</v>
      </c>
      <c r="AC18">
        <v>2.3199999999999998</v>
      </c>
      <c r="AD18">
        <v>185.20400000000001</v>
      </c>
      <c r="AE18">
        <v>182.55500000000001</v>
      </c>
      <c r="AF18">
        <v>14.388999999999999</v>
      </c>
      <c r="AG18">
        <v>177.108</v>
      </c>
      <c r="AH18">
        <v>0.9907258064516129</v>
      </c>
      <c r="AI18">
        <v>307.47000000000003</v>
      </c>
      <c r="AJ18">
        <v>9.2741935483870962E-3</v>
      </c>
      <c r="AK18">
        <v>0.80900000000000005</v>
      </c>
      <c r="AL18">
        <v>-26.102</v>
      </c>
      <c r="AM18">
        <v>353.79899999999998</v>
      </c>
      <c r="AN18">
        <v>351.745</v>
      </c>
      <c r="AO18">
        <v>12.644</v>
      </c>
      <c r="AP18">
        <v>307.77699999999999</v>
      </c>
      <c r="AQ18">
        <v>439.68099999999998</v>
      </c>
      <c r="AR18">
        <v>2509.058</v>
      </c>
      <c r="AS18">
        <v>2506.181</v>
      </c>
      <c r="AT18">
        <v>58.014000000000003</v>
      </c>
      <c r="AU18">
        <v>2110.4690000000001</v>
      </c>
      <c r="AV18">
        <v>2594.1179999999999</v>
      </c>
      <c r="AW18">
        <v>2908.0010000000002</v>
      </c>
      <c r="AX18">
        <v>2857.9259999999999</v>
      </c>
      <c r="AY18">
        <v>188.89500000000001</v>
      </c>
      <c r="AZ18">
        <v>2682.0540000000001</v>
      </c>
      <c r="BA18">
        <v>3473.48</v>
      </c>
      <c r="BB18">
        <v>2.48</v>
      </c>
      <c r="BC18">
        <v>183.52699999999999</v>
      </c>
      <c r="BD18">
        <v>182.77099999999999</v>
      </c>
      <c r="BE18">
        <v>3.794</v>
      </c>
      <c r="BF18">
        <v>179.16399999999999</v>
      </c>
      <c r="BG18">
        <v>0.95633802816901425</v>
      </c>
      <c r="BH18">
        <v>213.48500000000001</v>
      </c>
      <c r="BI18">
        <v>0</v>
      </c>
      <c r="BJ18">
        <v>0.52800000000000002</v>
      </c>
      <c r="BK18">
        <v>-29.277999999999999</v>
      </c>
      <c r="BL18">
        <v>352.12799999999999</v>
      </c>
      <c r="BM18">
        <v>350.34800000000001</v>
      </c>
      <c r="BN18">
        <v>8684</v>
      </c>
      <c r="BO18">
        <v>350.34800000000001</v>
      </c>
      <c r="BP18">
        <v>394.14100000000002</v>
      </c>
      <c r="BQ18">
        <v>1141.5989999999999</v>
      </c>
      <c r="BR18">
        <v>1094.836</v>
      </c>
      <c r="BS18">
        <v>158.91499999999999</v>
      </c>
      <c r="BT18">
        <v>963.45600000000002</v>
      </c>
      <c r="BU18">
        <v>1926.912</v>
      </c>
      <c r="BV18">
        <v>3151.348</v>
      </c>
      <c r="BW18">
        <v>3196.922</v>
      </c>
      <c r="BX18">
        <v>215.74100000000001</v>
      </c>
      <c r="BY18">
        <v>2364.846</v>
      </c>
      <c r="BZ18">
        <v>3547.2689999999998</v>
      </c>
      <c r="CA18">
        <v>2.84</v>
      </c>
      <c r="CB18">
        <v>4</v>
      </c>
      <c r="CC18">
        <v>1</v>
      </c>
      <c r="CD18">
        <v>0</v>
      </c>
      <c r="CE18">
        <v>1</v>
      </c>
      <c r="CF18">
        <v>0</v>
      </c>
    </row>
    <row r="19" spans="1:84" x14ac:dyDescent="0.35">
      <c r="A19" t="s">
        <v>291</v>
      </c>
      <c r="B19" t="str">
        <f t="shared" si="2"/>
        <v xml:space="preserve"> ar_se_2005_06_30_070</v>
      </c>
      <c r="C19" s="1">
        <f t="shared" si="1"/>
        <v>45761</v>
      </c>
      <c r="D19" t="s">
        <v>78</v>
      </c>
      <c r="E19">
        <v>198.858</v>
      </c>
      <c r="F19">
        <v>196.499</v>
      </c>
      <c r="G19">
        <v>7.093</v>
      </c>
      <c r="H19">
        <v>191.14599999999999</v>
      </c>
      <c r="I19">
        <v>0.92528089887640452</v>
      </c>
      <c r="J19">
        <v>222.40600000000001</v>
      </c>
      <c r="K19">
        <v>0</v>
      </c>
      <c r="L19">
        <v>0.45500000000000002</v>
      </c>
      <c r="M19">
        <v>-24.792000000000002</v>
      </c>
      <c r="N19">
        <v>616.06899999999996</v>
      </c>
      <c r="O19">
        <v>607.30899999999997</v>
      </c>
      <c r="P19">
        <v>81.795000000000002</v>
      </c>
      <c r="Q19">
        <v>327.01299999999998</v>
      </c>
      <c r="R19">
        <v>747.45799999999997</v>
      </c>
      <c r="S19">
        <v>1200.664</v>
      </c>
      <c r="T19">
        <v>1167.903</v>
      </c>
      <c r="U19">
        <v>89.367999999999995</v>
      </c>
      <c r="V19">
        <v>1121.1859999999999</v>
      </c>
      <c r="W19">
        <v>1635.0640000000001</v>
      </c>
      <c r="X19">
        <v>2506.7179999999998</v>
      </c>
      <c r="Y19">
        <v>2522.6689999999999</v>
      </c>
      <c r="Z19">
        <v>99.363</v>
      </c>
      <c r="AA19">
        <v>2195.6570000000002</v>
      </c>
      <c r="AB19">
        <v>2662.8180000000002</v>
      </c>
      <c r="AC19">
        <v>1.78</v>
      </c>
      <c r="AD19">
        <v>202.60599999999999</v>
      </c>
      <c r="AE19">
        <v>197.126</v>
      </c>
      <c r="AF19">
        <v>15.195</v>
      </c>
      <c r="AG19">
        <v>194.273</v>
      </c>
      <c r="AH19">
        <v>0.30505617977528093</v>
      </c>
      <c r="AI19">
        <v>286.36399999999998</v>
      </c>
      <c r="AJ19">
        <v>0</v>
      </c>
      <c r="AK19">
        <v>0.68100000000000005</v>
      </c>
      <c r="AL19">
        <v>-29.34</v>
      </c>
      <c r="AM19">
        <v>381.21600000000001</v>
      </c>
      <c r="AN19">
        <v>387.267</v>
      </c>
      <c r="AO19">
        <v>19.446999999999999</v>
      </c>
      <c r="AP19">
        <v>290.45</v>
      </c>
      <c r="AQ19">
        <v>387.267</v>
      </c>
      <c r="AR19">
        <v>2372.009</v>
      </c>
      <c r="AS19">
        <v>2420.4169999999999</v>
      </c>
      <c r="AT19">
        <v>211.00700000000001</v>
      </c>
      <c r="AU19">
        <v>2033.15</v>
      </c>
      <c r="AV19">
        <v>2565.6419999999998</v>
      </c>
      <c r="AW19">
        <v>3369.79</v>
      </c>
      <c r="AX19">
        <v>3340.1759999999999</v>
      </c>
      <c r="AY19">
        <v>130.042</v>
      </c>
      <c r="AZ19">
        <v>2952.9090000000001</v>
      </c>
      <c r="BA19">
        <v>3630.6260000000002</v>
      </c>
      <c r="BB19">
        <v>1.78</v>
      </c>
      <c r="BC19">
        <v>197.785</v>
      </c>
      <c r="BD19">
        <v>197.001</v>
      </c>
      <c r="BE19">
        <v>21.907</v>
      </c>
      <c r="BF19">
        <v>111.364</v>
      </c>
      <c r="BG19">
        <v>4.5698924731182797E-2</v>
      </c>
      <c r="BH19">
        <v>304.43799999999999</v>
      </c>
      <c r="BI19">
        <v>1.1290322580645161E-2</v>
      </c>
      <c r="BJ19">
        <v>3.4689999999999999</v>
      </c>
      <c r="BK19">
        <v>-30.390999999999998</v>
      </c>
      <c r="BL19">
        <v>386.93900000000002</v>
      </c>
      <c r="BM19">
        <v>379.76299999999998</v>
      </c>
      <c r="BN19">
        <v>22.463999999999999</v>
      </c>
      <c r="BO19">
        <v>332.29300000000001</v>
      </c>
      <c r="BP19">
        <v>474.70400000000001</v>
      </c>
      <c r="BQ19">
        <v>1153.251</v>
      </c>
      <c r="BR19">
        <v>1139.29</v>
      </c>
      <c r="BS19">
        <v>118.396</v>
      </c>
      <c r="BT19">
        <v>996.87800000000004</v>
      </c>
      <c r="BU19">
        <v>1471.5820000000001</v>
      </c>
      <c r="BV19">
        <v>3524.8130000000001</v>
      </c>
      <c r="BW19">
        <v>3655.221</v>
      </c>
      <c r="BX19">
        <v>427.67599999999999</v>
      </c>
      <c r="BY19">
        <v>2231.1089999999999</v>
      </c>
      <c r="BZ19">
        <v>4082.4540000000002</v>
      </c>
      <c r="CA19">
        <v>1.86</v>
      </c>
      <c r="CB19">
        <v>6</v>
      </c>
      <c r="CC19">
        <v>1</v>
      </c>
      <c r="CD19">
        <v>2</v>
      </c>
      <c r="CE19">
        <v>2</v>
      </c>
      <c r="CF19">
        <v>2</v>
      </c>
    </row>
    <row r="20" spans="1:84" x14ac:dyDescent="0.35">
      <c r="A20" t="s">
        <v>270</v>
      </c>
      <c r="B20" t="str">
        <f t="shared" si="2"/>
        <v xml:space="preserve"> as_gr_2000_07_17_648</v>
      </c>
      <c r="C20" s="1">
        <f t="shared" si="1"/>
        <v>45789</v>
      </c>
      <c r="D20" t="s">
        <v>78</v>
      </c>
      <c r="E20">
        <v>180.36</v>
      </c>
      <c r="F20">
        <v>180.315</v>
      </c>
      <c r="G20">
        <v>1.9079999999999999</v>
      </c>
      <c r="H20">
        <v>174.60400000000001</v>
      </c>
      <c r="I20">
        <v>7.5163398692810451E-3</v>
      </c>
      <c r="J20">
        <v>192.57599999999999</v>
      </c>
      <c r="K20">
        <v>0.98790849673202619</v>
      </c>
      <c r="L20">
        <v>0.44800000000000001</v>
      </c>
      <c r="M20">
        <v>-23.699000000000002</v>
      </c>
      <c r="N20">
        <v>850.89</v>
      </c>
      <c r="O20">
        <v>860.48800000000006</v>
      </c>
      <c r="P20">
        <v>28.481000000000002</v>
      </c>
      <c r="Q20">
        <v>688.39</v>
      </c>
      <c r="R20">
        <v>903.51199999999994</v>
      </c>
      <c r="S20">
        <v>1114.9649999999999</v>
      </c>
      <c r="T20">
        <v>1118.634</v>
      </c>
      <c r="U20">
        <v>23.460999999999999</v>
      </c>
      <c r="V20">
        <v>1075.6099999999999</v>
      </c>
      <c r="W20">
        <v>1247.7070000000001</v>
      </c>
      <c r="X20">
        <v>3494.5729999999999</v>
      </c>
      <c r="Y20">
        <v>3549.5120000000002</v>
      </c>
      <c r="Z20">
        <v>246.50299999999999</v>
      </c>
      <c r="AA20">
        <v>2495.415</v>
      </c>
      <c r="AB20">
        <v>3915.22</v>
      </c>
      <c r="AC20">
        <v>3.06</v>
      </c>
      <c r="AD20">
        <v>188.57</v>
      </c>
      <c r="AE20">
        <v>187.88800000000001</v>
      </c>
      <c r="AF20">
        <v>2.9319999999999999</v>
      </c>
      <c r="AG20">
        <v>184.85</v>
      </c>
      <c r="AH20">
        <v>0.96406249999999993</v>
      </c>
      <c r="AI20">
        <v>200.45500000000001</v>
      </c>
      <c r="AJ20">
        <v>2.6171875000000001E-2</v>
      </c>
      <c r="AK20">
        <v>0.48099999999999998</v>
      </c>
      <c r="AL20">
        <v>-27.395</v>
      </c>
      <c r="AM20">
        <v>361.65800000000002</v>
      </c>
      <c r="AN20">
        <v>359.63299999999998</v>
      </c>
      <c r="AO20">
        <v>21.334</v>
      </c>
      <c r="AP20">
        <v>359.63299999999998</v>
      </c>
      <c r="AQ20">
        <v>584.404</v>
      </c>
      <c r="AR20">
        <v>2297.4430000000002</v>
      </c>
      <c r="AS20">
        <v>2292.6610000000001</v>
      </c>
      <c r="AT20">
        <v>176.33500000000001</v>
      </c>
      <c r="AU20">
        <v>1483.4860000000001</v>
      </c>
      <c r="AV20">
        <v>2472.4769999999999</v>
      </c>
      <c r="AW20">
        <v>3301.7620000000002</v>
      </c>
      <c r="AX20">
        <v>3326.6060000000002</v>
      </c>
      <c r="AY20">
        <v>249.40600000000001</v>
      </c>
      <c r="AZ20">
        <v>2697.248</v>
      </c>
      <c r="BA20">
        <v>3955.9630000000002</v>
      </c>
      <c r="BB20">
        <v>2.56</v>
      </c>
      <c r="BC20">
        <v>188.05600000000001</v>
      </c>
      <c r="BD20">
        <v>185.852</v>
      </c>
      <c r="BE20">
        <v>7.9039999999999999</v>
      </c>
      <c r="BF20">
        <v>183.31399999999999</v>
      </c>
      <c r="BG20">
        <v>0.65114503816793889</v>
      </c>
      <c r="BH20">
        <v>249.55500000000001</v>
      </c>
      <c r="BI20">
        <v>0.97251908396946563</v>
      </c>
      <c r="BJ20">
        <v>0.78400000000000003</v>
      </c>
      <c r="BK20">
        <v>-29.001999999999999</v>
      </c>
      <c r="BL20">
        <v>403.17099999999999</v>
      </c>
      <c r="BM20">
        <v>398.89400000000001</v>
      </c>
      <c r="BN20">
        <v>29.463999999999999</v>
      </c>
      <c r="BO20">
        <v>310.25099999999998</v>
      </c>
      <c r="BP20">
        <v>664.82399999999996</v>
      </c>
      <c r="BQ20">
        <v>1030.3630000000001</v>
      </c>
      <c r="BR20">
        <v>1019.397</v>
      </c>
      <c r="BS20">
        <v>39.966999999999999</v>
      </c>
      <c r="BT20">
        <v>975.07500000000005</v>
      </c>
      <c r="BU20">
        <v>1373.97</v>
      </c>
      <c r="BV20">
        <v>3603.9250000000002</v>
      </c>
      <c r="BW20">
        <v>3590.05</v>
      </c>
      <c r="BX20">
        <v>187.982</v>
      </c>
      <c r="BY20">
        <v>3191.1559999999999</v>
      </c>
      <c r="BZ20">
        <v>4476.482</v>
      </c>
      <c r="CA20">
        <v>2.62</v>
      </c>
      <c r="CB20">
        <v>3</v>
      </c>
      <c r="CC20">
        <v>0</v>
      </c>
      <c r="CD20">
        <v>1</v>
      </c>
      <c r="CE20">
        <v>0</v>
      </c>
      <c r="CF20">
        <v>0</v>
      </c>
    </row>
    <row r="21" spans="1:84" x14ac:dyDescent="0.35">
      <c r="A21" t="s">
        <v>292</v>
      </c>
      <c r="B21" t="str">
        <f t="shared" si="2"/>
        <v xml:space="preserve"> as_li_2005_04_26_447</v>
      </c>
      <c r="C21" s="1">
        <f t="shared" si="1"/>
        <v>45761</v>
      </c>
      <c r="D21" t="s">
        <v>78</v>
      </c>
      <c r="E21">
        <v>218.428</v>
      </c>
      <c r="F21">
        <v>218.24</v>
      </c>
      <c r="G21">
        <v>5.1689999999999996</v>
      </c>
      <c r="H21">
        <v>208.863</v>
      </c>
      <c r="I21">
        <v>0.10668449197860963</v>
      </c>
      <c r="J21">
        <v>253.65700000000001</v>
      </c>
      <c r="K21">
        <v>0</v>
      </c>
      <c r="L21">
        <v>0.59</v>
      </c>
      <c r="M21">
        <v>-22.148</v>
      </c>
      <c r="N21">
        <v>581.65499999999997</v>
      </c>
      <c r="O21">
        <v>581.65499999999997</v>
      </c>
      <c r="P21">
        <v>75.733000000000004</v>
      </c>
      <c r="Q21">
        <v>423.02199999999999</v>
      </c>
      <c r="R21">
        <v>898.92100000000005</v>
      </c>
      <c r="S21">
        <v>1057.5540000000001</v>
      </c>
      <c r="T21">
        <v>1057.5540000000001</v>
      </c>
      <c r="U21">
        <v>33.095999999999997</v>
      </c>
      <c r="V21">
        <v>1004.676</v>
      </c>
      <c r="W21">
        <v>1163.309</v>
      </c>
      <c r="X21">
        <v>2936.6010000000001</v>
      </c>
      <c r="Y21">
        <v>2908.2730000000001</v>
      </c>
      <c r="Z21">
        <v>212.28100000000001</v>
      </c>
      <c r="AA21">
        <v>2485.252</v>
      </c>
      <c r="AB21">
        <v>3912.95</v>
      </c>
      <c r="AC21">
        <v>3.74</v>
      </c>
      <c r="AD21">
        <v>217.18100000000001</v>
      </c>
      <c r="AE21">
        <v>214.226</v>
      </c>
      <c r="AF21">
        <v>10.087999999999999</v>
      </c>
      <c r="AG21">
        <v>211.874</v>
      </c>
      <c r="AH21">
        <v>0.68076923076923079</v>
      </c>
      <c r="AI21">
        <v>290.13200000000001</v>
      </c>
      <c r="AJ21">
        <v>0</v>
      </c>
      <c r="AK21">
        <v>0.41899999999999998</v>
      </c>
      <c r="AL21">
        <v>-27.088999999999999</v>
      </c>
      <c r="AM21">
        <v>374.42700000000002</v>
      </c>
      <c r="AN21">
        <v>367.93799999999999</v>
      </c>
      <c r="AO21">
        <v>24.693000000000001</v>
      </c>
      <c r="AP21">
        <v>315.375</v>
      </c>
      <c r="AQ21">
        <v>525.62599999999998</v>
      </c>
      <c r="AR21">
        <v>1585.6379999999999</v>
      </c>
      <c r="AS21">
        <v>1524.3150000000001</v>
      </c>
      <c r="AT21">
        <v>157.43</v>
      </c>
      <c r="AU21">
        <v>1419.19</v>
      </c>
      <c r="AV21">
        <v>2049.94</v>
      </c>
      <c r="AW21">
        <v>3550.8939999999998</v>
      </c>
      <c r="AX21">
        <v>3521.692</v>
      </c>
      <c r="AY21">
        <v>170.297</v>
      </c>
      <c r="AZ21">
        <v>3153.7539999999999</v>
      </c>
      <c r="BA21">
        <v>4099.8810000000003</v>
      </c>
      <c r="BB21">
        <v>3.12</v>
      </c>
      <c r="BC21">
        <v>222.05199999999999</v>
      </c>
      <c r="BD21">
        <v>216.93600000000001</v>
      </c>
      <c r="BE21">
        <v>14.026</v>
      </c>
      <c r="BF21">
        <v>211.72800000000001</v>
      </c>
      <c r="BG21">
        <v>0.65878378378378377</v>
      </c>
      <c r="BH21">
        <v>302.05500000000001</v>
      </c>
      <c r="BI21">
        <v>0</v>
      </c>
      <c r="BJ21">
        <v>0.42599999999999999</v>
      </c>
      <c r="BK21">
        <v>-29.216000000000001</v>
      </c>
      <c r="BL21">
        <v>396.52600000000001</v>
      </c>
      <c r="BM21">
        <v>375.54700000000003</v>
      </c>
      <c r="BN21">
        <v>40.228000000000002</v>
      </c>
      <c r="BO21">
        <v>321.89800000000002</v>
      </c>
      <c r="BP21">
        <v>751.09500000000003</v>
      </c>
      <c r="BQ21">
        <v>1085.8689999999999</v>
      </c>
      <c r="BR21">
        <v>1072.9929999999999</v>
      </c>
      <c r="BS21">
        <v>102.907</v>
      </c>
      <c r="BT21">
        <v>965.69299999999998</v>
      </c>
      <c r="BU21">
        <v>1555.8389999999999</v>
      </c>
      <c r="BV21">
        <v>3318.4180000000001</v>
      </c>
      <c r="BW21">
        <v>3272.6280000000002</v>
      </c>
      <c r="BX21">
        <v>294.46699999999998</v>
      </c>
      <c r="BY21">
        <v>2575.1819999999998</v>
      </c>
      <c r="BZ21">
        <v>4399.2700000000004</v>
      </c>
      <c r="CA21">
        <v>2.96</v>
      </c>
    </row>
    <row r="22" spans="1:84" x14ac:dyDescent="0.35">
      <c r="A22" t="s">
        <v>293</v>
      </c>
      <c r="B22" t="str">
        <f t="shared" si="2"/>
        <v xml:space="preserve"> as_ri_2004_07_30_783</v>
      </c>
      <c r="C22" s="1">
        <f t="shared" si="1"/>
        <v>45761</v>
      </c>
      <c r="D22" t="s">
        <v>78</v>
      </c>
      <c r="E22">
        <v>189.25700000000001</v>
      </c>
      <c r="F22">
        <v>190.90899999999999</v>
      </c>
      <c r="G22">
        <v>15.173</v>
      </c>
      <c r="H22">
        <v>90</v>
      </c>
      <c r="I22">
        <v>0.97305555555555556</v>
      </c>
      <c r="J22">
        <v>209.28800000000001</v>
      </c>
      <c r="K22">
        <v>1.8333333333333333E-2</v>
      </c>
      <c r="L22">
        <v>1.282</v>
      </c>
      <c r="M22">
        <v>-24.135000000000002</v>
      </c>
      <c r="N22">
        <v>612.59299999999996</v>
      </c>
      <c r="O22">
        <v>597.18799999999999</v>
      </c>
      <c r="P22">
        <v>49.668999999999997</v>
      </c>
      <c r="Q22">
        <v>321.56299999999999</v>
      </c>
      <c r="R22">
        <v>780.93799999999999</v>
      </c>
      <c r="S22">
        <v>1085.6780000000001</v>
      </c>
      <c r="T22">
        <v>1102.5</v>
      </c>
      <c r="U22">
        <v>28.253</v>
      </c>
      <c r="V22">
        <v>1010.625</v>
      </c>
      <c r="W22">
        <v>1148.4380000000001</v>
      </c>
      <c r="X22">
        <v>2936.3589999999999</v>
      </c>
      <c r="Y22">
        <v>2940</v>
      </c>
      <c r="Z22">
        <v>62.524999999999999</v>
      </c>
      <c r="AA22">
        <v>2710.3130000000001</v>
      </c>
      <c r="AB22">
        <v>3077.8130000000001</v>
      </c>
      <c r="AC22">
        <v>3.6</v>
      </c>
      <c r="AD22">
        <v>191.16</v>
      </c>
      <c r="AE22">
        <v>192.21700000000001</v>
      </c>
      <c r="AF22">
        <v>10.162000000000001</v>
      </c>
      <c r="AG22">
        <v>97.69</v>
      </c>
      <c r="AH22">
        <v>0.97887700534759359</v>
      </c>
      <c r="AI22">
        <v>201.239</v>
      </c>
      <c r="AJ22">
        <v>1.1764705882352939E-2</v>
      </c>
      <c r="AK22">
        <v>1.5029999999999999</v>
      </c>
      <c r="AL22">
        <v>-29.433</v>
      </c>
      <c r="AM22">
        <v>364.03</v>
      </c>
      <c r="AN22">
        <v>364.84</v>
      </c>
      <c r="AO22">
        <v>6.04</v>
      </c>
      <c r="AP22">
        <v>319.23500000000001</v>
      </c>
      <c r="AQ22">
        <v>364.84</v>
      </c>
      <c r="AR22">
        <v>2535.0659999999998</v>
      </c>
      <c r="AS22">
        <v>2553.8780000000002</v>
      </c>
      <c r="AT22">
        <v>41.042000000000002</v>
      </c>
      <c r="AU22">
        <v>2371.4580000000001</v>
      </c>
      <c r="AV22">
        <v>2599.4830000000002</v>
      </c>
      <c r="AW22">
        <v>2942.7339999999999</v>
      </c>
      <c r="AX22">
        <v>2918.7179999999998</v>
      </c>
      <c r="AY22">
        <v>95.721999999999994</v>
      </c>
      <c r="AZ22">
        <v>2781.9029999999998</v>
      </c>
      <c r="BA22">
        <v>3420.3719999999998</v>
      </c>
      <c r="BB22">
        <v>3.74</v>
      </c>
      <c r="BC22">
        <v>194.33799999999999</v>
      </c>
      <c r="BD22">
        <v>193.42099999999999</v>
      </c>
      <c r="BE22">
        <v>9.8390000000000004</v>
      </c>
      <c r="BF22">
        <v>179.268</v>
      </c>
      <c r="BG22">
        <v>1.2573099415204677E-2</v>
      </c>
      <c r="BH22">
        <v>312.76600000000002</v>
      </c>
      <c r="BI22">
        <v>0.99210526315789471</v>
      </c>
      <c r="BJ22">
        <v>0.73099999999999998</v>
      </c>
      <c r="BK22">
        <v>-29.864999999999998</v>
      </c>
      <c r="BL22">
        <v>361.93400000000003</v>
      </c>
      <c r="BM22">
        <v>372.54500000000002</v>
      </c>
      <c r="BN22">
        <v>31.927</v>
      </c>
      <c r="BO22">
        <v>325.97699999999998</v>
      </c>
      <c r="BP22">
        <v>651.95399999999995</v>
      </c>
      <c r="BQ22">
        <v>1117.635</v>
      </c>
      <c r="BR22">
        <v>1117.635</v>
      </c>
      <c r="BS22">
        <v>38.023000000000003</v>
      </c>
      <c r="BT22">
        <v>1071.067</v>
      </c>
      <c r="BU22">
        <v>1164.203</v>
      </c>
      <c r="BV22">
        <v>3024.864</v>
      </c>
      <c r="BW22">
        <v>3026.9270000000001</v>
      </c>
      <c r="BX22">
        <v>183.685</v>
      </c>
      <c r="BY22">
        <v>2468.11</v>
      </c>
      <c r="BZ22">
        <v>3632.3130000000001</v>
      </c>
      <c r="CA22">
        <v>3.42</v>
      </c>
      <c r="CB22">
        <v>6</v>
      </c>
      <c r="CC22">
        <v>2</v>
      </c>
      <c r="CD22">
        <v>2</v>
      </c>
      <c r="CE22">
        <v>4</v>
      </c>
      <c r="CF22">
        <v>4</v>
      </c>
    </row>
    <row r="23" spans="1:84" x14ac:dyDescent="0.35">
      <c r="A23" t="s">
        <v>294</v>
      </c>
      <c r="B23" t="str">
        <f t="shared" si="2"/>
        <v xml:space="preserve"> as_st_2005_11_28_811</v>
      </c>
      <c r="C23" s="1">
        <f t="shared" si="1"/>
        <v>45761</v>
      </c>
      <c r="D23" t="s">
        <v>78</v>
      </c>
      <c r="E23">
        <v>198.721</v>
      </c>
      <c r="F23">
        <v>198.77699999999999</v>
      </c>
      <c r="G23">
        <v>2.9140000000000001</v>
      </c>
      <c r="H23">
        <v>189.27</v>
      </c>
      <c r="I23">
        <v>2.8000000000000001E-2</v>
      </c>
      <c r="J23">
        <v>205.66300000000001</v>
      </c>
      <c r="K23">
        <v>0.98</v>
      </c>
      <c r="L23">
        <v>0.39200000000000002</v>
      </c>
      <c r="M23">
        <v>-26.41</v>
      </c>
      <c r="N23">
        <v>520.86900000000003</v>
      </c>
      <c r="O23">
        <v>527.28300000000002</v>
      </c>
      <c r="P23">
        <v>73.825999999999993</v>
      </c>
      <c r="Q23">
        <v>383.47800000000001</v>
      </c>
      <c r="R23">
        <v>862.82600000000002</v>
      </c>
      <c r="S23">
        <v>1286.837</v>
      </c>
      <c r="T23">
        <v>1294.239</v>
      </c>
      <c r="U23">
        <v>81.864999999999995</v>
      </c>
      <c r="V23">
        <v>1150.4349999999999</v>
      </c>
      <c r="W23">
        <v>1533.913</v>
      </c>
      <c r="X23">
        <v>3052.6350000000002</v>
      </c>
      <c r="Y23">
        <v>3067.826</v>
      </c>
      <c r="Z23">
        <v>182.00399999999999</v>
      </c>
      <c r="AA23">
        <v>2444.674</v>
      </c>
      <c r="AB23">
        <v>3451.3040000000001</v>
      </c>
      <c r="AC23">
        <v>3</v>
      </c>
      <c r="AD23">
        <v>201.21600000000001</v>
      </c>
      <c r="AE23">
        <v>200.977</v>
      </c>
      <c r="AF23">
        <v>1.925</v>
      </c>
      <c r="AG23">
        <v>198.77699999999999</v>
      </c>
      <c r="AH23">
        <v>0.73773006134969321</v>
      </c>
      <c r="AI23">
        <v>220.5</v>
      </c>
      <c r="AJ23">
        <v>0</v>
      </c>
      <c r="AK23">
        <v>0.34599999999999997</v>
      </c>
      <c r="AL23">
        <v>-29.254999999999999</v>
      </c>
      <c r="AM23">
        <v>345.33499999999998</v>
      </c>
      <c r="AN23">
        <v>339.97800000000001</v>
      </c>
      <c r="AO23">
        <v>16.375</v>
      </c>
      <c r="AP23">
        <v>291.41000000000003</v>
      </c>
      <c r="AQ23">
        <v>388.54599999999999</v>
      </c>
      <c r="AR23">
        <v>2493.0149999999999</v>
      </c>
      <c r="AS23">
        <v>2525.5509999999999</v>
      </c>
      <c r="AT23">
        <v>100.73399999999999</v>
      </c>
      <c r="AU23">
        <v>1845.595</v>
      </c>
      <c r="AV23">
        <v>2622.6869999999999</v>
      </c>
      <c r="AW23">
        <v>3377.1970000000001</v>
      </c>
      <c r="AX23">
        <v>3399.78</v>
      </c>
      <c r="AY23">
        <v>273.22800000000001</v>
      </c>
      <c r="AZ23">
        <v>2768.3919999999998</v>
      </c>
      <c r="BA23">
        <v>3885.4630000000002</v>
      </c>
      <c r="BB23">
        <v>3.26</v>
      </c>
      <c r="BC23">
        <v>201.227</v>
      </c>
      <c r="BD23">
        <v>201.63300000000001</v>
      </c>
      <c r="BE23">
        <v>2.085</v>
      </c>
      <c r="BF23">
        <v>193.785</v>
      </c>
      <c r="BG23">
        <v>2.4277456647398846E-2</v>
      </c>
      <c r="BH23">
        <v>205.11600000000001</v>
      </c>
      <c r="BI23">
        <v>0</v>
      </c>
      <c r="BJ23">
        <v>0.35799999999999998</v>
      </c>
      <c r="BK23">
        <v>-29.827999999999999</v>
      </c>
      <c r="BL23">
        <v>338.02</v>
      </c>
      <c r="BM23">
        <v>337.37700000000001</v>
      </c>
      <c r="BN23">
        <v>5547</v>
      </c>
      <c r="BO23">
        <v>337.37700000000001</v>
      </c>
      <c r="BP23">
        <v>385.57400000000001</v>
      </c>
      <c r="BQ23">
        <v>1219.377</v>
      </c>
      <c r="BR23">
        <v>1253.115</v>
      </c>
      <c r="BS23">
        <v>116.146</v>
      </c>
      <c r="BT23">
        <v>1060.328</v>
      </c>
      <c r="BU23">
        <v>1976.066</v>
      </c>
      <c r="BV23">
        <v>3134.2469999999998</v>
      </c>
      <c r="BW23">
        <v>3132.7869999999998</v>
      </c>
      <c r="BX23">
        <v>227.214</v>
      </c>
      <c r="BY23">
        <v>2795.41</v>
      </c>
      <c r="BZ23">
        <v>4096.7209999999995</v>
      </c>
      <c r="CA23">
        <v>3.46</v>
      </c>
      <c r="CB23">
        <v>5</v>
      </c>
      <c r="CC23">
        <v>3</v>
      </c>
      <c r="CD23">
        <v>1</v>
      </c>
      <c r="CE23">
        <v>1</v>
      </c>
      <c r="CF23">
        <v>1</v>
      </c>
    </row>
    <row r="24" spans="1:84" x14ac:dyDescent="0.35">
      <c r="A24" t="s">
        <v>295</v>
      </c>
      <c r="B24" t="str">
        <f t="shared" si="2"/>
        <v xml:space="preserve"> au_lo_2005_04_04_587</v>
      </c>
      <c r="C24" s="1">
        <f t="shared" si="1"/>
        <v>45761</v>
      </c>
      <c r="D24" t="s">
        <v>78</v>
      </c>
      <c r="E24">
        <v>182.72399999999999</v>
      </c>
      <c r="F24">
        <v>182.23099999999999</v>
      </c>
      <c r="G24">
        <v>4.0430000000000001</v>
      </c>
      <c r="H24">
        <v>180.10499999999999</v>
      </c>
      <c r="I24">
        <v>0.28514492753623194</v>
      </c>
      <c r="J24">
        <v>221.608</v>
      </c>
      <c r="K24">
        <v>0</v>
      </c>
      <c r="L24">
        <v>0.435</v>
      </c>
      <c r="M24">
        <v>-27.523</v>
      </c>
      <c r="N24">
        <v>551.85400000000004</v>
      </c>
      <c r="O24">
        <v>566.50199999999995</v>
      </c>
      <c r="P24">
        <v>40.226999999999997</v>
      </c>
      <c r="Q24">
        <v>392.19400000000002</v>
      </c>
      <c r="R24">
        <v>740.81</v>
      </c>
      <c r="S24">
        <v>1045.8499999999999</v>
      </c>
      <c r="T24">
        <v>1024.0609999999999</v>
      </c>
      <c r="U24">
        <v>69.879000000000005</v>
      </c>
      <c r="V24">
        <v>958.69600000000003</v>
      </c>
      <c r="W24">
        <v>1176.5809999999999</v>
      </c>
      <c r="X24">
        <v>2844.96</v>
      </c>
      <c r="Y24">
        <v>2832.51</v>
      </c>
      <c r="Z24">
        <v>91.150999999999996</v>
      </c>
      <c r="AA24">
        <v>2571.047</v>
      </c>
      <c r="AB24">
        <v>3050.395</v>
      </c>
      <c r="AC24">
        <v>2.76</v>
      </c>
      <c r="AD24">
        <v>180.405</v>
      </c>
      <c r="AE24">
        <v>177.72</v>
      </c>
      <c r="AF24">
        <v>12.797000000000001</v>
      </c>
      <c r="AG24">
        <v>174.80199999999999</v>
      </c>
      <c r="AH24">
        <v>0.98071428571428576</v>
      </c>
      <c r="AI24">
        <v>305.94600000000003</v>
      </c>
      <c r="AJ24">
        <v>8.2142857142857139E-3</v>
      </c>
      <c r="AK24">
        <v>0.92600000000000005</v>
      </c>
      <c r="AL24">
        <v>-28.963999999999999</v>
      </c>
      <c r="AM24">
        <v>347.13799999999998</v>
      </c>
      <c r="AN24">
        <v>343.86</v>
      </c>
      <c r="AO24">
        <v>28.741</v>
      </c>
      <c r="AP24">
        <v>300.87700000000001</v>
      </c>
      <c r="AQ24">
        <v>644.73699999999997</v>
      </c>
      <c r="AR24">
        <v>2170.614</v>
      </c>
      <c r="AS24">
        <v>2170.614</v>
      </c>
      <c r="AT24">
        <v>638.25699999999995</v>
      </c>
      <c r="AU24">
        <v>1719.298</v>
      </c>
      <c r="AV24">
        <v>2621.93</v>
      </c>
      <c r="AW24">
        <v>3138.442</v>
      </c>
      <c r="AX24">
        <v>3137.7190000000001</v>
      </c>
      <c r="AY24">
        <v>91.945999999999998</v>
      </c>
      <c r="AZ24">
        <v>2965.7890000000002</v>
      </c>
      <c r="BA24">
        <v>3524.5610000000001</v>
      </c>
      <c r="BB24">
        <v>2.8</v>
      </c>
      <c r="BC24">
        <v>178.292</v>
      </c>
      <c r="BD24">
        <v>177.51599999999999</v>
      </c>
      <c r="BE24">
        <v>3.2330000000000001</v>
      </c>
      <c r="BF24">
        <v>172.36199999999999</v>
      </c>
      <c r="BG24">
        <v>0.9991735537190084</v>
      </c>
      <c r="BH24">
        <v>194.76300000000001</v>
      </c>
      <c r="BI24">
        <v>8.2644628099173556E-3</v>
      </c>
      <c r="BJ24">
        <v>0.54400000000000004</v>
      </c>
      <c r="BK24">
        <v>-27.23</v>
      </c>
      <c r="BL24">
        <v>359.80799999999999</v>
      </c>
      <c r="BM24">
        <v>340.21199999999999</v>
      </c>
      <c r="BN24">
        <v>21.302</v>
      </c>
      <c r="BO24">
        <v>340.21199999999999</v>
      </c>
      <c r="BP24">
        <v>382.73899999999998</v>
      </c>
      <c r="BQ24">
        <v>1020.636</v>
      </c>
      <c r="BR24">
        <v>1020.636</v>
      </c>
      <c r="BS24">
        <v>42.776000000000003</v>
      </c>
      <c r="BT24">
        <v>978.11</v>
      </c>
      <c r="BU24">
        <v>1360.8489999999999</v>
      </c>
      <c r="BV24">
        <v>3101.5169999999998</v>
      </c>
      <c r="BW24">
        <v>3104.4360000000001</v>
      </c>
      <c r="BX24">
        <v>125.279</v>
      </c>
      <c r="BY24">
        <v>2806.75</v>
      </c>
      <c r="BZ24">
        <v>3529.701</v>
      </c>
      <c r="CA24">
        <v>2.42</v>
      </c>
    </row>
    <row r="25" spans="1:84" x14ac:dyDescent="0.35">
      <c r="A25" t="s">
        <v>296</v>
      </c>
      <c r="B25" t="str">
        <f t="shared" si="2"/>
        <v xml:space="preserve"> au_ri_2004_02_19_848</v>
      </c>
      <c r="C25" s="1">
        <f t="shared" si="1"/>
        <v>45761</v>
      </c>
      <c r="D25" t="s">
        <v>78</v>
      </c>
      <c r="E25">
        <v>206.02500000000001</v>
      </c>
      <c r="F25">
        <v>205.66300000000001</v>
      </c>
      <c r="G25">
        <v>2.702</v>
      </c>
      <c r="H25">
        <v>197.505</v>
      </c>
      <c r="I25">
        <v>0.98485915492957754</v>
      </c>
      <c r="J25">
        <v>222.727</v>
      </c>
      <c r="K25">
        <v>0</v>
      </c>
      <c r="L25">
        <v>0.33700000000000002</v>
      </c>
      <c r="M25">
        <v>-28.617000000000001</v>
      </c>
      <c r="N25">
        <v>595.94600000000003</v>
      </c>
      <c r="O25">
        <v>595.94600000000003</v>
      </c>
      <c r="P25">
        <v>20.635999999999999</v>
      </c>
      <c r="Q25">
        <v>546.28399999999999</v>
      </c>
      <c r="R25">
        <v>645.60799999999995</v>
      </c>
      <c r="S25">
        <v>1065.8620000000001</v>
      </c>
      <c r="T25">
        <v>1042.905</v>
      </c>
      <c r="U25">
        <v>62.131999999999998</v>
      </c>
      <c r="V25">
        <v>993.24300000000005</v>
      </c>
      <c r="W25">
        <v>1390.5409999999999</v>
      </c>
      <c r="X25">
        <v>2766.5369999999998</v>
      </c>
      <c r="Y25">
        <v>2731.4189999999999</v>
      </c>
      <c r="Z25">
        <v>215.65100000000001</v>
      </c>
      <c r="AA25">
        <v>2383.7840000000001</v>
      </c>
      <c r="AB25">
        <v>3228.0410000000002</v>
      </c>
      <c r="AC25">
        <v>2.84</v>
      </c>
      <c r="AD25">
        <v>205.31100000000001</v>
      </c>
      <c r="AE25">
        <v>204.57300000000001</v>
      </c>
      <c r="AF25">
        <v>4.7380000000000004</v>
      </c>
      <c r="AG25">
        <v>192.57599999999999</v>
      </c>
      <c r="AH25">
        <v>0.98581560283687941</v>
      </c>
      <c r="AI25">
        <v>250.56800000000001</v>
      </c>
      <c r="AJ25">
        <v>7.0921985815602844E-3</v>
      </c>
      <c r="AK25">
        <v>0.48099999999999998</v>
      </c>
      <c r="AL25">
        <v>-27.995999999999999</v>
      </c>
      <c r="AM25">
        <v>346.91500000000002</v>
      </c>
      <c r="AN25">
        <v>347.63499999999999</v>
      </c>
      <c r="AO25">
        <v>10.368</v>
      </c>
      <c r="AP25">
        <v>248.31100000000001</v>
      </c>
      <c r="AQ25">
        <v>397.29700000000003</v>
      </c>
      <c r="AW25">
        <v>3085.8919999999998</v>
      </c>
      <c r="AX25">
        <v>3029.3919999999998</v>
      </c>
      <c r="AY25">
        <v>132.17099999999999</v>
      </c>
      <c r="AZ25">
        <v>2930.0680000000002</v>
      </c>
      <c r="BA25">
        <v>3476.3510000000001</v>
      </c>
      <c r="BB25">
        <v>2.82</v>
      </c>
      <c r="BC25">
        <v>207.44499999999999</v>
      </c>
      <c r="BD25">
        <v>206.55799999999999</v>
      </c>
      <c r="BE25">
        <v>4.3529999999999998</v>
      </c>
      <c r="BF25">
        <v>202.161</v>
      </c>
      <c r="BG25">
        <v>0.63510638297872346</v>
      </c>
      <c r="BH25">
        <v>232.10499999999999</v>
      </c>
      <c r="BI25">
        <v>1.4184397163120569E-2</v>
      </c>
      <c r="BJ25">
        <v>0.374</v>
      </c>
      <c r="BK25">
        <v>-30.318000000000001</v>
      </c>
      <c r="BL25">
        <v>399.024</v>
      </c>
      <c r="BM25">
        <v>400.45400000000001</v>
      </c>
      <c r="BN25">
        <v>11.923</v>
      </c>
      <c r="BO25">
        <v>350.39699999999999</v>
      </c>
      <c r="BP25">
        <v>450.51100000000002</v>
      </c>
      <c r="BQ25">
        <v>959.42100000000005</v>
      </c>
      <c r="BR25">
        <v>951.07799999999997</v>
      </c>
      <c r="BS25">
        <v>19.484999999999999</v>
      </c>
      <c r="BT25">
        <v>951.07799999999997</v>
      </c>
      <c r="BU25">
        <v>1001.135</v>
      </c>
      <c r="BV25">
        <v>3275.857</v>
      </c>
      <c r="BW25">
        <v>3203.6320000000001</v>
      </c>
      <c r="BX25">
        <v>246.34700000000001</v>
      </c>
      <c r="BY25">
        <v>2903.2919999999999</v>
      </c>
      <c r="BZ25">
        <v>4254.8239999999996</v>
      </c>
      <c r="CA25">
        <v>2.82</v>
      </c>
      <c r="CB25">
        <v>7</v>
      </c>
      <c r="CC25">
        <v>3</v>
      </c>
      <c r="CD25">
        <v>1</v>
      </c>
      <c r="CE25">
        <v>2</v>
      </c>
      <c r="CF25">
        <v>5</v>
      </c>
    </row>
    <row r="26" spans="1:84" x14ac:dyDescent="0.35">
      <c r="A26" t="s">
        <v>297</v>
      </c>
      <c r="B26" t="str">
        <f t="shared" si="2"/>
        <v xml:space="preserve"> au_te_2005_05_22_789</v>
      </c>
      <c r="C26" s="1">
        <f t="shared" si="1"/>
        <v>45761</v>
      </c>
      <c r="D26" t="s">
        <v>78</v>
      </c>
      <c r="E26">
        <v>173.84200000000001</v>
      </c>
      <c r="F26">
        <v>173.13499999999999</v>
      </c>
      <c r="G26">
        <v>4.843</v>
      </c>
      <c r="H26">
        <v>167.04499999999999</v>
      </c>
      <c r="I26">
        <v>0.464018691588785</v>
      </c>
      <c r="J26">
        <v>206.21199999999999</v>
      </c>
      <c r="K26">
        <v>1.1214953271028037E-2</v>
      </c>
      <c r="L26">
        <v>0.67800000000000005</v>
      </c>
      <c r="M26">
        <v>-23.332999999999998</v>
      </c>
      <c r="N26">
        <v>649.34</v>
      </c>
      <c r="O26">
        <v>627.01400000000001</v>
      </c>
      <c r="P26">
        <v>60.442</v>
      </c>
      <c r="Q26">
        <v>501.61099999999999</v>
      </c>
      <c r="R26">
        <v>877.82</v>
      </c>
      <c r="S26">
        <v>1142.3599999999999</v>
      </c>
      <c r="T26">
        <v>1128.626</v>
      </c>
      <c r="U26">
        <v>67.784999999999997</v>
      </c>
      <c r="V26">
        <v>1045.0239999999999</v>
      </c>
      <c r="W26">
        <v>1421.232</v>
      </c>
      <c r="X26">
        <v>3298</v>
      </c>
      <c r="Y26">
        <v>3302.2750000000001</v>
      </c>
      <c r="Z26">
        <v>192.03100000000001</v>
      </c>
      <c r="AA26">
        <v>2717.0619999999999</v>
      </c>
      <c r="AB26">
        <v>3887.4879999999998</v>
      </c>
      <c r="AC26">
        <v>2.14</v>
      </c>
      <c r="AD26">
        <v>179.47499999999999</v>
      </c>
      <c r="AE26">
        <v>178.13</v>
      </c>
      <c r="AF26">
        <v>6.6539999999999999</v>
      </c>
      <c r="AG26">
        <v>169.989</v>
      </c>
      <c r="AH26">
        <v>0.99159663865546221</v>
      </c>
      <c r="AI26">
        <v>225.328</v>
      </c>
      <c r="AJ26">
        <v>0</v>
      </c>
      <c r="AK26">
        <v>0.54400000000000004</v>
      </c>
      <c r="AL26">
        <v>-28.061</v>
      </c>
      <c r="AM26">
        <v>341.67599999999999</v>
      </c>
      <c r="AN26">
        <v>342.524</v>
      </c>
      <c r="AO26">
        <v>5995</v>
      </c>
      <c r="AP26">
        <v>299.709</v>
      </c>
      <c r="AQ26">
        <v>342.524</v>
      </c>
      <c r="AR26">
        <v>2508.277</v>
      </c>
      <c r="AS26">
        <v>2526.1170000000002</v>
      </c>
      <c r="AT26">
        <v>53.095999999999997</v>
      </c>
      <c r="AU26">
        <v>2397.67</v>
      </c>
      <c r="AV26">
        <v>2568.9319999999998</v>
      </c>
      <c r="AW26">
        <v>3395.569</v>
      </c>
      <c r="AX26">
        <v>3382.4270000000001</v>
      </c>
      <c r="AY26">
        <v>176.61</v>
      </c>
      <c r="AZ26">
        <v>3039.9029999999998</v>
      </c>
      <c r="BA26">
        <v>3853.3980000000001</v>
      </c>
      <c r="BB26">
        <v>2.38</v>
      </c>
      <c r="BC26">
        <v>177.86199999999999</v>
      </c>
      <c r="BD26">
        <v>175.49700000000001</v>
      </c>
      <c r="BE26">
        <v>7.39</v>
      </c>
      <c r="BF26">
        <v>173.03800000000001</v>
      </c>
      <c r="BG26">
        <v>0.97169117647058811</v>
      </c>
      <c r="BH26">
        <v>222.08600000000001</v>
      </c>
      <c r="BI26">
        <v>0</v>
      </c>
      <c r="BJ26">
        <v>0.41</v>
      </c>
      <c r="BK26">
        <v>-27.495000000000001</v>
      </c>
      <c r="BL26">
        <v>347.82299999999998</v>
      </c>
      <c r="BM26">
        <v>338.90499999999997</v>
      </c>
      <c r="BN26">
        <v>19.09</v>
      </c>
      <c r="BO26">
        <v>338.90499999999997</v>
      </c>
      <c r="BP26">
        <v>423.63099999999997</v>
      </c>
      <c r="BQ26">
        <v>1011.789</v>
      </c>
      <c r="BR26">
        <v>974.35199999999998</v>
      </c>
      <c r="BS26">
        <v>95.375</v>
      </c>
      <c r="BT26">
        <v>974.35199999999998</v>
      </c>
      <c r="BU26">
        <v>1736.8879999999999</v>
      </c>
      <c r="BV26">
        <v>3586.7440000000001</v>
      </c>
      <c r="BW26">
        <v>3600.8649999999998</v>
      </c>
      <c r="BX26">
        <v>127.36</v>
      </c>
      <c r="BY26">
        <v>3134.87</v>
      </c>
      <c r="BZ26">
        <v>3939.7689999999998</v>
      </c>
      <c r="CA26">
        <v>2.72</v>
      </c>
      <c r="CB26">
        <v>3</v>
      </c>
      <c r="CC26">
        <v>2</v>
      </c>
      <c r="CD26">
        <v>2</v>
      </c>
      <c r="CE26">
        <v>4</v>
      </c>
      <c r="CF26">
        <v>1</v>
      </c>
    </row>
    <row r="27" spans="1:84" x14ac:dyDescent="0.35">
      <c r="A27" t="s">
        <v>298</v>
      </c>
      <c r="B27" t="str">
        <f t="shared" si="2"/>
        <v xml:space="preserve"> az_sa_2004_04_06_567</v>
      </c>
      <c r="C27" s="1">
        <f t="shared" si="1"/>
        <v>45761</v>
      </c>
      <c r="D27" t="s">
        <v>78</v>
      </c>
      <c r="E27">
        <v>188.70400000000001</v>
      </c>
      <c r="F27">
        <v>188.00200000000001</v>
      </c>
      <c r="G27">
        <v>9.7889999999999997</v>
      </c>
      <c r="H27">
        <v>164.816</v>
      </c>
      <c r="I27">
        <v>0</v>
      </c>
      <c r="J27">
        <v>271.02699999999999</v>
      </c>
      <c r="K27">
        <v>6.1797752808988755E-3</v>
      </c>
      <c r="L27">
        <v>1.169</v>
      </c>
      <c r="M27">
        <v>-23.475999999999999</v>
      </c>
      <c r="N27">
        <v>636.45600000000002</v>
      </c>
      <c r="O27">
        <v>630.64400000000001</v>
      </c>
      <c r="P27">
        <v>67.659000000000006</v>
      </c>
      <c r="Q27">
        <v>450.46</v>
      </c>
      <c r="R27">
        <v>991.01099999999997</v>
      </c>
      <c r="S27">
        <v>1234.6559999999999</v>
      </c>
      <c r="T27">
        <v>1216.241</v>
      </c>
      <c r="U27">
        <v>88.396000000000001</v>
      </c>
      <c r="V27">
        <v>1036.057</v>
      </c>
      <c r="W27">
        <v>1441.471</v>
      </c>
      <c r="X27">
        <v>2980.9659999999999</v>
      </c>
      <c r="Y27">
        <v>2973.0340000000001</v>
      </c>
      <c r="Z27">
        <v>116.294</v>
      </c>
      <c r="AA27">
        <v>2522.5740000000001</v>
      </c>
      <c r="AB27">
        <v>3198.2640000000001</v>
      </c>
      <c r="AC27">
        <v>3.56</v>
      </c>
      <c r="AD27">
        <v>184.23400000000001</v>
      </c>
      <c r="AE27">
        <v>183.75</v>
      </c>
      <c r="AF27">
        <v>7.6210000000000004</v>
      </c>
      <c r="AG27">
        <v>177.41399999999999</v>
      </c>
      <c r="AH27">
        <v>0.97073170731707326</v>
      </c>
      <c r="AI27">
        <v>279.87299999999999</v>
      </c>
      <c r="AJ27">
        <v>4.8780487804878057E-3</v>
      </c>
      <c r="AK27">
        <v>0.63900000000000001</v>
      </c>
      <c r="AL27">
        <v>-27.824000000000002</v>
      </c>
      <c r="AM27">
        <v>349.30700000000002</v>
      </c>
      <c r="AN27">
        <v>349.30700000000002</v>
      </c>
      <c r="AO27">
        <v>4641</v>
      </c>
      <c r="AP27">
        <v>305.64400000000001</v>
      </c>
      <c r="AQ27">
        <v>392.97</v>
      </c>
      <c r="AR27">
        <v>2452.79</v>
      </c>
      <c r="AS27">
        <v>2532.4749999999999</v>
      </c>
      <c r="AT27">
        <v>207.14599999999999</v>
      </c>
      <c r="AU27">
        <v>1746.5350000000001</v>
      </c>
      <c r="AV27">
        <v>2576.1390000000001</v>
      </c>
      <c r="AW27">
        <v>3520.788</v>
      </c>
      <c r="AX27">
        <v>3493.069</v>
      </c>
      <c r="AY27">
        <v>180.27600000000001</v>
      </c>
      <c r="AZ27">
        <v>3100.0990000000002</v>
      </c>
      <c r="BA27">
        <v>4148.0200000000004</v>
      </c>
      <c r="BB27">
        <v>4.0999999999999996</v>
      </c>
      <c r="BC27">
        <v>188.542</v>
      </c>
      <c r="BD27">
        <v>186.751</v>
      </c>
      <c r="BE27">
        <v>16.786999999999999</v>
      </c>
      <c r="BF27">
        <v>182.23099999999999</v>
      </c>
      <c r="BG27">
        <v>0.22286995515695068</v>
      </c>
      <c r="BH27">
        <v>350</v>
      </c>
      <c r="BI27">
        <v>5.1569506726457399E-3</v>
      </c>
      <c r="BJ27">
        <v>0.85299999999999998</v>
      </c>
      <c r="BK27">
        <v>-28.465</v>
      </c>
      <c r="BL27">
        <v>358.03699999999998</v>
      </c>
      <c r="BM27">
        <v>356.00400000000002</v>
      </c>
      <c r="BN27">
        <v>16.995999999999999</v>
      </c>
      <c r="BO27">
        <v>356.00400000000002</v>
      </c>
      <c r="BP27">
        <v>534.00599999999997</v>
      </c>
      <c r="BQ27">
        <v>1201.5139999999999</v>
      </c>
      <c r="BR27">
        <v>1112.5129999999999</v>
      </c>
      <c r="BS27">
        <v>226.90899999999999</v>
      </c>
      <c r="BT27">
        <v>1023.5119999999999</v>
      </c>
      <c r="BU27">
        <v>1735.52</v>
      </c>
      <c r="BV27">
        <v>3276.9989999999998</v>
      </c>
      <c r="BW27">
        <v>3293.0369999999998</v>
      </c>
      <c r="BX27">
        <v>112.53400000000001</v>
      </c>
      <c r="BY27">
        <v>2803.5320000000002</v>
      </c>
      <c r="BZ27">
        <v>3560.04</v>
      </c>
      <c r="CA27">
        <v>4.46</v>
      </c>
      <c r="CB27">
        <v>6</v>
      </c>
      <c r="CC27">
        <v>6</v>
      </c>
      <c r="CD27">
        <v>0</v>
      </c>
      <c r="CE27">
        <v>6</v>
      </c>
      <c r="CF27">
        <v>2</v>
      </c>
    </row>
    <row r="28" spans="1:84" x14ac:dyDescent="0.35">
      <c r="A28" t="s">
        <v>299</v>
      </c>
      <c r="B28" t="str">
        <f t="shared" si="2"/>
        <v xml:space="preserve"> be_ra_2005_06_09_810</v>
      </c>
      <c r="C28" s="1">
        <f t="shared" si="1"/>
        <v>45761</v>
      </c>
      <c r="D28" t="s">
        <v>78</v>
      </c>
      <c r="E28">
        <v>152.83799999999999</v>
      </c>
      <c r="F28">
        <v>152.595</v>
      </c>
      <c r="G28">
        <v>3.0110000000000001</v>
      </c>
      <c r="H28">
        <v>147.56200000000001</v>
      </c>
      <c r="I28">
        <v>0.98362068965517246</v>
      </c>
      <c r="J28">
        <v>166.05699999999999</v>
      </c>
      <c r="K28">
        <v>0</v>
      </c>
      <c r="L28">
        <v>0.53300000000000003</v>
      </c>
      <c r="M28">
        <v>-18.385999999999999</v>
      </c>
      <c r="N28">
        <v>739.55899999999997</v>
      </c>
      <c r="O28">
        <v>764.10900000000004</v>
      </c>
      <c r="P28">
        <v>59.356999999999999</v>
      </c>
      <c r="Q28">
        <v>473.02</v>
      </c>
      <c r="R28">
        <v>836.88099999999997</v>
      </c>
      <c r="S28">
        <v>1139.951</v>
      </c>
      <c r="T28">
        <v>1091.5840000000001</v>
      </c>
      <c r="U28">
        <v>100.351</v>
      </c>
      <c r="V28">
        <v>1055.1980000000001</v>
      </c>
      <c r="W28">
        <v>1637.376</v>
      </c>
      <c r="X28">
        <v>2767.1</v>
      </c>
      <c r="Y28">
        <v>2765.3470000000002</v>
      </c>
      <c r="Z28">
        <v>160.71700000000001</v>
      </c>
      <c r="AA28">
        <v>2510.6439999999998</v>
      </c>
      <c r="AB28">
        <v>3602.2280000000001</v>
      </c>
      <c r="AC28">
        <v>2.3199999999999998</v>
      </c>
      <c r="AD28">
        <v>166.47</v>
      </c>
      <c r="AE28">
        <v>148.05799999999999</v>
      </c>
      <c r="AF28">
        <v>54.16</v>
      </c>
      <c r="AG28">
        <v>142.71799999999999</v>
      </c>
      <c r="AH28">
        <v>0.98719512195121961</v>
      </c>
      <c r="AI28">
        <v>347.24400000000003</v>
      </c>
      <c r="AJ28">
        <v>1.6463414634146342E-2</v>
      </c>
      <c r="AK28">
        <v>1.6890000000000001</v>
      </c>
      <c r="AL28">
        <v>-23.824999999999999</v>
      </c>
      <c r="AM28">
        <v>357</v>
      </c>
      <c r="AN28">
        <v>333.529</v>
      </c>
      <c r="AO28">
        <v>50.124000000000002</v>
      </c>
      <c r="AP28">
        <v>296.471</v>
      </c>
      <c r="AQ28">
        <v>667.05899999999997</v>
      </c>
      <c r="AR28">
        <v>2134.5880000000002</v>
      </c>
      <c r="AS28">
        <v>2334.7060000000001</v>
      </c>
      <c r="AT28">
        <v>504.46300000000002</v>
      </c>
      <c r="AU28">
        <v>1556.471</v>
      </c>
      <c r="AV28">
        <v>2594.1179999999999</v>
      </c>
      <c r="AW28">
        <v>3240.1759999999999</v>
      </c>
      <c r="AX28">
        <v>3261.1759999999999</v>
      </c>
      <c r="AY28">
        <v>90.869</v>
      </c>
      <c r="AZ28">
        <v>3038.8240000000001</v>
      </c>
      <c r="BA28">
        <v>3446.471</v>
      </c>
      <c r="BB28">
        <v>1.64</v>
      </c>
      <c r="BC28">
        <v>161.029</v>
      </c>
      <c r="BD28">
        <v>150.95400000000001</v>
      </c>
      <c r="BE28">
        <v>37.811999999999998</v>
      </c>
      <c r="BF28">
        <v>147.98699999999999</v>
      </c>
      <c r="BG28">
        <v>0.90804597701149425</v>
      </c>
      <c r="BH28">
        <v>339.23099999999999</v>
      </c>
      <c r="BI28">
        <v>3.1034482758620689E-2</v>
      </c>
      <c r="BJ28">
        <v>1.59</v>
      </c>
      <c r="BK28">
        <v>-25.486999999999998</v>
      </c>
      <c r="BL28">
        <v>424.61900000000003</v>
      </c>
      <c r="BM28">
        <v>410.40600000000001</v>
      </c>
      <c r="BN28">
        <v>26.321000000000002</v>
      </c>
      <c r="BO28">
        <v>335.78699999999998</v>
      </c>
      <c r="BP28">
        <v>485.02499999999998</v>
      </c>
      <c r="BQ28">
        <v>1013.773</v>
      </c>
      <c r="BR28">
        <v>1007.36</v>
      </c>
      <c r="BS28">
        <v>99.837000000000003</v>
      </c>
      <c r="BT28">
        <v>970.05100000000004</v>
      </c>
      <c r="BU28">
        <v>1678.934</v>
      </c>
      <c r="BV28">
        <v>3192.306</v>
      </c>
      <c r="BW28">
        <v>3171.32</v>
      </c>
      <c r="BX28">
        <v>217.53800000000001</v>
      </c>
      <c r="BY28">
        <v>2872.8429999999998</v>
      </c>
      <c r="BZ28">
        <v>3842.893</v>
      </c>
      <c r="CA28">
        <v>1.74</v>
      </c>
      <c r="CB28">
        <v>4</v>
      </c>
      <c r="CC28">
        <v>4</v>
      </c>
      <c r="CD28">
        <v>1</v>
      </c>
      <c r="CE28">
        <v>1</v>
      </c>
      <c r="CF28">
        <v>1</v>
      </c>
    </row>
    <row r="29" spans="1:84" x14ac:dyDescent="0.35">
      <c r="A29" t="s">
        <v>300</v>
      </c>
      <c r="B29" t="str">
        <f t="shared" si="2"/>
        <v xml:space="preserve"> bi_za_2005_02_22_631</v>
      </c>
      <c r="C29" s="1">
        <f t="shared" si="1"/>
        <v>45761</v>
      </c>
      <c r="D29" t="s">
        <v>78</v>
      </c>
      <c r="E29">
        <v>186.22399999999999</v>
      </c>
      <c r="F29">
        <v>185.62799999999999</v>
      </c>
      <c r="G29">
        <v>4.9450000000000003</v>
      </c>
      <c r="H29">
        <v>180</v>
      </c>
      <c r="I29">
        <v>4.8913043478260865E-2</v>
      </c>
      <c r="J29">
        <v>225</v>
      </c>
      <c r="K29">
        <v>1.2499999999999999E-2</v>
      </c>
      <c r="L29">
        <v>0.79600000000000004</v>
      </c>
      <c r="M29">
        <v>-30.785</v>
      </c>
      <c r="N29">
        <v>785.06399999999996</v>
      </c>
      <c r="O29">
        <v>808.35</v>
      </c>
      <c r="P29">
        <v>74.846999999999994</v>
      </c>
      <c r="Q29">
        <v>538.9</v>
      </c>
      <c r="R29">
        <v>1077.8</v>
      </c>
      <c r="S29">
        <v>1174.27</v>
      </c>
      <c r="T29">
        <v>1167.617</v>
      </c>
      <c r="U29">
        <v>63.95</v>
      </c>
      <c r="V29">
        <v>1077.8</v>
      </c>
      <c r="W29">
        <v>1481.9760000000001</v>
      </c>
      <c r="X29">
        <v>3485.11</v>
      </c>
      <c r="Y29">
        <v>3502.8510000000001</v>
      </c>
      <c r="Z29">
        <v>199.66300000000001</v>
      </c>
      <c r="AA29">
        <v>2919.0430000000001</v>
      </c>
      <c r="AB29">
        <v>4041.752</v>
      </c>
      <c r="AC29">
        <v>1.84</v>
      </c>
      <c r="AD29">
        <v>184.42500000000001</v>
      </c>
      <c r="AE29">
        <v>184.07900000000001</v>
      </c>
      <c r="AF29">
        <v>1.976</v>
      </c>
      <c r="AG29">
        <v>180.315</v>
      </c>
      <c r="AH29">
        <v>0.3585423197492163</v>
      </c>
      <c r="AI29">
        <v>190.90899999999999</v>
      </c>
      <c r="AJ29">
        <v>1</v>
      </c>
      <c r="AK29">
        <v>0.47899999999999998</v>
      </c>
      <c r="AL29">
        <v>-28.533000000000001</v>
      </c>
      <c r="AM29">
        <v>324.935</v>
      </c>
      <c r="AN29">
        <v>307.77699999999999</v>
      </c>
      <c r="AO29">
        <v>39.176000000000002</v>
      </c>
      <c r="AP29">
        <v>307.77699999999999</v>
      </c>
      <c r="AQ29">
        <v>527.61699999999996</v>
      </c>
      <c r="AR29">
        <v>2284.4009999999998</v>
      </c>
      <c r="AS29">
        <v>2330.3090000000002</v>
      </c>
      <c r="AT29">
        <v>186.608</v>
      </c>
      <c r="AU29">
        <v>1231.107</v>
      </c>
      <c r="AV29">
        <v>2506.181</v>
      </c>
      <c r="AW29">
        <v>3210.2420000000002</v>
      </c>
      <c r="AX29">
        <v>3209.6709999999998</v>
      </c>
      <c r="AY29">
        <v>184.965</v>
      </c>
      <c r="AZ29">
        <v>2813.9580000000001</v>
      </c>
      <c r="BA29">
        <v>3693.32</v>
      </c>
      <c r="BB29">
        <v>2.552</v>
      </c>
      <c r="BC29">
        <v>184.83699999999999</v>
      </c>
      <c r="BD29">
        <v>183.85900000000001</v>
      </c>
      <c r="BE29">
        <v>2.593</v>
      </c>
      <c r="BF29">
        <v>181.80199999999999</v>
      </c>
      <c r="BG29">
        <v>0.66630434782608694</v>
      </c>
      <c r="BH29">
        <v>192.57599999999999</v>
      </c>
      <c r="BI29">
        <v>0</v>
      </c>
      <c r="BJ29">
        <v>0.35499999999999998</v>
      </c>
      <c r="BK29">
        <v>-29.048999999999999</v>
      </c>
      <c r="BL29">
        <v>403.01100000000002</v>
      </c>
      <c r="BM29">
        <v>394.14100000000002</v>
      </c>
      <c r="BN29">
        <v>55.386000000000003</v>
      </c>
      <c r="BO29">
        <v>350.34800000000001</v>
      </c>
      <c r="BP29">
        <v>700.69500000000005</v>
      </c>
      <c r="BQ29">
        <v>976.88599999999997</v>
      </c>
      <c r="BR29">
        <v>963.45600000000002</v>
      </c>
      <c r="BS29">
        <v>67.143000000000001</v>
      </c>
      <c r="BT29">
        <v>919.66200000000003</v>
      </c>
      <c r="BU29">
        <v>1532.771</v>
      </c>
      <c r="BV29">
        <v>3351.5839999999998</v>
      </c>
      <c r="BW29">
        <v>3284.5079999999998</v>
      </c>
      <c r="BX29">
        <v>288.09899999999999</v>
      </c>
      <c r="BY29">
        <v>2934.1610000000001</v>
      </c>
      <c r="BZ29">
        <v>4072.79</v>
      </c>
      <c r="CA29">
        <v>1.84</v>
      </c>
      <c r="CB29">
        <v>6</v>
      </c>
      <c r="CC29">
        <v>1</v>
      </c>
      <c r="CD29">
        <v>0</v>
      </c>
      <c r="CE29">
        <v>2</v>
      </c>
      <c r="CF29">
        <v>2</v>
      </c>
    </row>
    <row r="30" spans="1:84" x14ac:dyDescent="0.35">
      <c r="A30" t="s">
        <v>301</v>
      </c>
      <c r="B30" t="str">
        <f t="shared" si="2"/>
        <v xml:space="preserve"> ca_ba_1999_03_11_977</v>
      </c>
      <c r="C30" s="1">
        <f t="shared" si="1"/>
        <v>45761</v>
      </c>
      <c r="D30" t="s">
        <v>78</v>
      </c>
      <c r="E30">
        <v>194.98599999999999</v>
      </c>
      <c r="F30">
        <v>195.256</v>
      </c>
      <c r="G30">
        <v>1.927</v>
      </c>
      <c r="H30">
        <v>184.85</v>
      </c>
      <c r="I30">
        <v>1</v>
      </c>
      <c r="J30">
        <v>198.26599999999999</v>
      </c>
      <c r="K30">
        <v>0.58602150537634412</v>
      </c>
      <c r="L30">
        <v>0.32900000000000001</v>
      </c>
      <c r="M30">
        <v>-26.53</v>
      </c>
      <c r="N30">
        <v>750.29399999999998</v>
      </c>
      <c r="O30">
        <v>756.27</v>
      </c>
      <c r="P30">
        <v>30.414999999999999</v>
      </c>
      <c r="Q30">
        <v>661.73599999999999</v>
      </c>
      <c r="R30">
        <v>803.53700000000003</v>
      </c>
      <c r="S30">
        <v>1049.9159999999999</v>
      </c>
      <c r="T30">
        <v>1039.8710000000001</v>
      </c>
      <c r="U30">
        <v>26.795000000000002</v>
      </c>
      <c r="V30">
        <v>992.60500000000002</v>
      </c>
      <c r="W30">
        <v>1134.405</v>
      </c>
      <c r="X30">
        <v>3373.3339999999998</v>
      </c>
      <c r="Y30">
        <v>3355.9490000000001</v>
      </c>
      <c r="Z30">
        <v>76.662000000000006</v>
      </c>
      <c r="AA30">
        <v>3214.1480000000001</v>
      </c>
      <c r="AB30">
        <v>3639.55</v>
      </c>
      <c r="AC30">
        <v>1.86</v>
      </c>
      <c r="AD30">
        <v>197.24799999999999</v>
      </c>
      <c r="AE30">
        <v>197.25200000000001</v>
      </c>
      <c r="AF30">
        <v>2.665</v>
      </c>
      <c r="AG30">
        <v>191.14599999999999</v>
      </c>
      <c r="AH30">
        <v>2.8828828828828826E-2</v>
      </c>
      <c r="AI30">
        <v>215.12200000000001</v>
      </c>
      <c r="AJ30">
        <v>0.9864864864864864</v>
      </c>
      <c r="AK30">
        <v>0.36199999999999999</v>
      </c>
      <c r="AL30">
        <v>-29.343</v>
      </c>
      <c r="AM30">
        <v>331.30399999999997</v>
      </c>
      <c r="AN30">
        <v>332.29300000000001</v>
      </c>
      <c r="AO30">
        <v>6816</v>
      </c>
      <c r="AP30">
        <v>284.822</v>
      </c>
      <c r="AQ30">
        <v>332.29300000000001</v>
      </c>
      <c r="AR30">
        <v>2266.712</v>
      </c>
      <c r="AS30">
        <v>2326.0500000000002</v>
      </c>
      <c r="AT30">
        <v>256.935</v>
      </c>
      <c r="AU30">
        <v>1471.5820000000001</v>
      </c>
      <c r="AV30">
        <v>2420.9899999999998</v>
      </c>
      <c r="AW30">
        <v>3583.5590000000002</v>
      </c>
      <c r="AX30">
        <v>3560.28</v>
      </c>
      <c r="AY30">
        <v>88.992000000000004</v>
      </c>
      <c r="AZ30">
        <v>3417.8690000000001</v>
      </c>
      <c r="BA30">
        <v>3750.1610000000001</v>
      </c>
      <c r="BB30">
        <v>2.2200000000000002</v>
      </c>
      <c r="BC30">
        <v>202.45099999999999</v>
      </c>
      <c r="BD30">
        <v>203.09200000000001</v>
      </c>
      <c r="BE30">
        <v>4.6849999999999996</v>
      </c>
      <c r="BF30">
        <v>183.96899999999999</v>
      </c>
      <c r="BG30">
        <v>1.1538461538461539E-2</v>
      </c>
      <c r="BH30">
        <v>211.72800000000001</v>
      </c>
      <c r="BI30">
        <v>0.95824175824175817</v>
      </c>
      <c r="BJ30">
        <v>0.51500000000000001</v>
      </c>
      <c r="BK30">
        <v>-31.936</v>
      </c>
      <c r="BL30">
        <v>353.584</v>
      </c>
      <c r="BM30">
        <v>341.10500000000002</v>
      </c>
      <c r="BN30">
        <v>21.4</v>
      </c>
      <c r="BO30">
        <v>341.10500000000002</v>
      </c>
      <c r="BP30">
        <v>389.834</v>
      </c>
      <c r="BQ30">
        <v>1037.2380000000001</v>
      </c>
      <c r="BR30">
        <v>974.58600000000001</v>
      </c>
      <c r="BS30">
        <v>124.917</v>
      </c>
      <c r="BT30">
        <v>974.58600000000001</v>
      </c>
      <c r="BU30">
        <v>1315.691</v>
      </c>
      <c r="BV30">
        <v>3557.7979999999998</v>
      </c>
      <c r="BW30">
        <v>3557.2379999999998</v>
      </c>
      <c r="BX30">
        <v>191.84700000000001</v>
      </c>
      <c r="BY30">
        <v>3167.4029999999998</v>
      </c>
      <c r="BZ30">
        <v>3898.3429999999998</v>
      </c>
      <c r="CA30">
        <v>1.82</v>
      </c>
      <c r="CB30">
        <v>5</v>
      </c>
      <c r="CC30">
        <v>1</v>
      </c>
      <c r="CD30">
        <v>1</v>
      </c>
      <c r="CE30">
        <v>3</v>
      </c>
      <c r="CF30">
        <v>3</v>
      </c>
    </row>
    <row r="31" spans="1:84" x14ac:dyDescent="0.35">
      <c r="A31" t="s">
        <v>302</v>
      </c>
      <c r="B31" t="str">
        <f t="shared" si="2"/>
        <v xml:space="preserve"> ca_mu_2005_04_28_047</v>
      </c>
      <c r="C31" s="1">
        <f t="shared" si="1"/>
        <v>45761</v>
      </c>
      <c r="D31" t="s">
        <v>78</v>
      </c>
      <c r="E31">
        <v>178.62100000000001</v>
      </c>
      <c r="F31">
        <v>178.33600000000001</v>
      </c>
      <c r="G31">
        <v>2.532</v>
      </c>
      <c r="H31">
        <v>175.59700000000001</v>
      </c>
      <c r="I31">
        <v>7.4215246636771301E-2</v>
      </c>
      <c r="J31">
        <v>194.273</v>
      </c>
      <c r="K31">
        <v>0.54147982062780275</v>
      </c>
      <c r="L31">
        <v>0.49199999999999999</v>
      </c>
      <c r="M31">
        <v>-24.099</v>
      </c>
      <c r="N31">
        <v>571.16899999999998</v>
      </c>
      <c r="O31">
        <v>552.31200000000001</v>
      </c>
      <c r="P31">
        <v>56.945999999999998</v>
      </c>
      <c r="Q31">
        <v>467.34100000000001</v>
      </c>
      <c r="R31">
        <v>934.68200000000002</v>
      </c>
      <c r="S31">
        <v>1233.4369999999999</v>
      </c>
      <c r="T31">
        <v>1232.0809999999999</v>
      </c>
      <c r="U31">
        <v>45.216000000000001</v>
      </c>
      <c r="V31">
        <v>1104.624</v>
      </c>
      <c r="W31">
        <v>1359.538</v>
      </c>
      <c r="X31">
        <v>3096.473</v>
      </c>
      <c r="Y31">
        <v>3101.4450000000002</v>
      </c>
      <c r="Z31">
        <v>124.717</v>
      </c>
      <c r="AA31">
        <v>2804.0459999999998</v>
      </c>
      <c r="AB31">
        <v>3398.8440000000001</v>
      </c>
      <c r="AC31">
        <v>4.46</v>
      </c>
      <c r="AD31">
        <v>178.357</v>
      </c>
      <c r="AE31">
        <v>178.33600000000001</v>
      </c>
      <c r="AF31">
        <v>1.4179999999999999</v>
      </c>
      <c r="AG31">
        <v>175.697</v>
      </c>
      <c r="AH31">
        <v>0.47975609756097565</v>
      </c>
      <c r="AI31">
        <v>188.80699999999999</v>
      </c>
      <c r="AJ31">
        <v>0</v>
      </c>
      <c r="AK31">
        <v>0.318</v>
      </c>
      <c r="AL31">
        <v>-26.579000000000001</v>
      </c>
      <c r="AM31">
        <v>339.55700000000002</v>
      </c>
      <c r="AN31">
        <v>339.55700000000002</v>
      </c>
      <c r="AO31">
        <v>0</v>
      </c>
      <c r="AP31">
        <v>339.55700000000002</v>
      </c>
      <c r="AQ31">
        <v>339.55700000000002</v>
      </c>
      <c r="AR31">
        <v>2617.1379999999999</v>
      </c>
      <c r="AS31">
        <v>2631.569</v>
      </c>
      <c r="AT31">
        <v>25.033999999999999</v>
      </c>
      <c r="AU31">
        <v>2546.6790000000001</v>
      </c>
      <c r="AV31">
        <v>2674.0129999999999</v>
      </c>
      <c r="AW31">
        <v>3397.7809999999999</v>
      </c>
      <c r="AX31">
        <v>3395.5729999999999</v>
      </c>
      <c r="AY31">
        <v>164.34100000000001</v>
      </c>
      <c r="AZ31">
        <v>2928.681</v>
      </c>
      <c r="BA31">
        <v>3820.0189999999998</v>
      </c>
      <c r="BB31">
        <v>4.0999999999999996</v>
      </c>
      <c r="BC31">
        <v>179.93299999999999</v>
      </c>
      <c r="BD31">
        <v>179.89500000000001</v>
      </c>
      <c r="BE31">
        <v>1.282</v>
      </c>
      <c r="BF31">
        <v>177.31200000000001</v>
      </c>
      <c r="BG31">
        <v>0.49630541871921191</v>
      </c>
      <c r="BH31">
        <v>188.46199999999999</v>
      </c>
      <c r="BI31">
        <v>4.9261083743842374E-3</v>
      </c>
      <c r="BJ31">
        <v>0.28599999999999998</v>
      </c>
      <c r="BK31">
        <v>-29.126000000000001</v>
      </c>
      <c r="BL31">
        <v>343.84800000000001</v>
      </c>
      <c r="BM31">
        <v>342.85700000000003</v>
      </c>
      <c r="BN31">
        <v>6.46</v>
      </c>
      <c r="BO31">
        <v>342.85700000000003</v>
      </c>
      <c r="BP31">
        <v>385.714</v>
      </c>
      <c r="BQ31">
        <v>991.07100000000003</v>
      </c>
      <c r="BR31">
        <v>985.71400000000006</v>
      </c>
      <c r="BS31">
        <v>69.766000000000005</v>
      </c>
      <c r="BT31">
        <v>942.85699999999997</v>
      </c>
      <c r="BU31">
        <v>1242.857</v>
      </c>
      <c r="BV31">
        <v>3288.357</v>
      </c>
      <c r="BW31">
        <v>3257.143</v>
      </c>
      <c r="BX31">
        <v>214.441</v>
      </c>
      <c r="BY31">
        <v>2614.2860000000001</v>
      </c>
      <c r="BZ31">
        <v>3900</v>
      </c>
      <c r="CA31">
        <v>4.0599999999999996</v>
      </c>
      <c r="CB31">
        <v>5</v>
      </c>
      <c r="CC31">
        <v>1</v>
      </c>
      <c r="CD31">
        <v>0</v>
      </c>
      <c r="CE31">
        <v>3</v>
      </c>
      <c r="CF31">
        <v>2</v>
      </c>
    </row>
    <row r="32" spans="1:84" x14ac:dyDescent="0.35">
      <c r="A32" t="s">
        <v>303</v>
      </c>
      <c r="B32" t="str">
        <f t="shared" si="2"/>
        <v xml:space="preserve"> ca_pa_2005_04_20_282</v>
      </c>
      <c r="C32" s="1">
        <f t="shared" si="1"/>
        <v>45761</v>
      </c>
      <c r="D32" t="s">
        <v>78</v>
      </c>
      <c r="E32">
        <v>174.76300000000001</v>
      </c>
      <c r="F32">
        <v>174.90100000000001</v>
      </c>
      <c r="G32">
        <v>2.1240000000000001</v>
      </c>
      <c r="H32">
        <v>162.90199999999999</v>
      </c>
      <c r="I32">
        <v>5.7142857142857143E-3</v>
      </c>
      <c r="J32">
        <v>178.749</v>
      </c>
      <c r="K32">
        <v>0.71485714285714275</v>
      </c>
      <c r="L32">
        <v>0.47799999999999998</v>
      </c>
      <c r="M32">
        <v>-22.745000000000001</v>
      </c>
      <c r="N32">
        <v>812.47500000000002</v>
      </c>
      <c r="O32">
        <v>835.22699999999998</v>
      </c>
      <c r="P32">
        <v>43.460999999999999</v>
      </c>
      <c r="Q32">
        <v>668.18200000000002</v>
      </c>
      <c r="R32">
        <v>918.75</v>
      </c>
      <c r="S32">
        <v>1347.596</v>
      </c>
      <c r="T32">
        <v>1336.364</v>
      </c>
      <c r="U32">
        <v>36.914000000000001</v>
      </c>
      <c r="V32">
        <v>1211.08</v>
      </c>
      <c r="W32">
        <v>1419.886</v>
      </c>
      <c r="X32">
        <v>2847.261</v>
      </c>
      <c r="Y32">
        <v>2881.5340000000001</v>
      </c>
      <c r="Z32">
        <v>263.096</v>
      </c>
      <c r="AA32">
        <v>2338.636</v>
      </c>
      <c r="AB32">
        <v>3675</v>
      </c>
      <c r="AC32">
        <v>3.5</v>
      </c>
      <c r="AD32">
        <v>183.386</v>
      </c>
      <c r="AE32">
        <v>183.20500000000001</v>
      </c>
      <c r="AF32">
        <v>7.5170000000000003</v>
      </c>
      <c r="AG32">
        <v>147.21</v>
      </c>
      <c r="AH32">
        <v>0</v>
      </c>
      <c r="AI32">
        <v>256.39499999999998</v>
      </c>
      <c r="AJ32">
        <v>0.9877419354838709</v>
      </c>
      <c r="AK32">
        <v>0.92900000000000005</v>
      </c>
      <c r="AL32">
        <v>-27.030999999999999</v>
      </c>
      <c r="AM32">
        <v>304.791</v>
      </c>
      <c r="AN32">
        <v>304.13799999999998</v>
      </c>
      <c r="AO32">
        <v>5308</v>
      </c>
      <c r="AP32">
        <v>304.13799999999998</v>
      </c>
      <c r="AQ32">
        <v>347.58600000000001</v>
      </c>
      <c r="AW32">
        <v>4033.8290000000002</v>
      </c>
      <c r="AX32">
        <v>3997.241</v>
      </c>
      <c r="AY32">
        <v>165</v>
      </c>
      <c r="AZ32">
        <v>3736.5520000000001</v>
      </c>
      <c r="BA32">
        <v>4605.5169999999998</v>
      </c>
      <c r="BB32">
        <v>3.1</v>
      </c>
      <c r="BC32">
        <v>184.274</v>
      </c>
      <c r="BD32">
        <v>183.85900000000001</v>
      </c>
      <c r="BE32">
        <v>13.699</v>
      </c>
      <c r="BF32">
        <v>119.327</v>
      </c>
      <c r="BG32">
        <v>0.99907975460122711</v>
      </c>
      <c r="BH32">
        <v>322.57100000000003</v>
      </c>
      <c r="BI32">
        <v>6.1349693251533744E-3</v>
      </c>
      <c r="BJ32">
        <v>1.4890000000000001</v>
      </c>
      <c r="BK32">
        <v>-29.872</v>
      </c>
      <c r="BL32">
        <v>352.29</v>
      </c>
      <c r="BM32">
        <v>351.04500000000002</v>
      </c>
      <c r="BN32">
        <v>8998</v>
      </c>
      <c r="BO32">
        <v>307.16399999999999</v>
      </c>
      <c r="BP32">
        <v>394.92500000000001</v>
      </c>
      <c r="BQ32">
        <v>1071.94</v>
      </c>
      <c r="BR32">
        <v>1053.134</v>
      </c>
      <c r="BS32">
        <v>96.927000000000007</v>
      </c>
      <c r="BT32">
        <v>1009.254</v>
      </c>
      <c r="BU32">
        <v>1404.1790000000001</v>
      </c>
      <c r="BV32">
        <v>4350.05</v>
      </c>
      <c r="BW32">
        <v>4366.1189999999997</v>
      </c>
      <c r="BX32">
        <v>181.732</v>
      </c>
      <c r="BY32">
        <v>2940</v>
      </c>
      <c r="BZ32">
        <v>4563.5820000000003</v>
      </c>
      <c r="CA32">
        <v>3.26</v>
      </c>
      <c r="CB32">
        <v>6</v>
      </c>
      <c r="CC32">
        <v>1</v>
      </c>
      <c r="CD32">
        <v>0</v>
      </c>
      <c r="CE32">
        <v>3</v>
      </c>
      <c r="CF32">
        <v>0</v>
      </c>
    </row>
    <row r="33" spans="1:84" x14ac:dyDescent="0.35">
      <c r="A33" t="s">
        <v>304</v>
      </c>
      <c r="B33" t="str">
        <f t="shared" si="2"/>
        <v xml:space="preserve"> ca_po_2005_11_08_041</v>
      </c>
      <c r="C33" s="1">
        <f t="shared" si="1"/>
        <v>45761</v>
      </c>
      <c r="D33" t="s">
        <v>78</v>
      </c>
      <c r="E33">
        <v>157.41300000000001</v>
      </c>
      <c r="F33">
        <v>156.304</v>
      </c>
      <c r="G33">
        <v>4.9039999999999999</v>
      </c>
      <c r="H33">
        <v>149.203</v>
      </c>
      <c r="I33">
        <v>0.97533333333333339</v>
      </c>
      <c r="J33">
        <v>176.905</v>
      </c>
      <c r="K33">
        <v>0</v>
      </c>
      <c r="L33">
        <v>0.48699999999999999</v>
      </c>
      <c r="M33">
        <v>-27.791</v>
      </c>
      <c r="N33">
        <v>607.10400000000004</v>
      </c>
      <c r="O33">
        <v>601.53499999999997</v>
      </c>
      <c r="P33">
        <v>68.28</v>
      </c>
      <c r="Q33">
        <v>488.74700000000001</v>
      </c>
      <c r="R33">
        <v>789.51400000000001</v>
      </c>
      <c r="S33">
        <v>1220.1579999999999</v>
      </c>
      <c r="T33">
        <v>1240.665</v>
      </c>
      <c r="U33">
        <v>38.161000000000001</v>
      </c>
      <c r="V33">
        <v>1127.877</v>
      </c>
      <c r="W33">
        <v>1315.857</v>
      </c>
      <c r="X33">
        <v>2482.0129999999999</v>
      </c>
      <c r="Y33">
        <v>2406.1379999999999</v>
      </c>
      <c r="Z33">
        <v>229.88499999999999</v>
      </c>
      <c r="AA33">
        <v>2330.9459999999999</v>
      </c>
      <c r="AB33">
        <v>3721.9949999999999</v>
      </c>
      <c r="AC33">
        <v>1.5</v>
      </c>
      <c r="AD33">
        <v>161.33600000000001</v>
      </c>
      <c r="AE33">
        <v>160.15600000000001</v>
      </c>
      <c r="AF33">
        <v>5.8949999999999996</v>
      </c>
      <c r="AG33">
        <v>150</v>
      </c>
      <c r="AH33">
        <v>0</v>
      </c>
      <c r="AI33">
        <v>181.16200000000001</v>
      </c>
      <c r="AJ33">
        <v>2.1093749999999998E-2</v>
      </c>
      <c r="AK33">
        <v>1.002</v>
      </c>
      <c r="AL33">
        <v>-28.033000000000001</v>
      </c>
      <c r="AM33">
        <v>318.79899999999998</v>
      </c>
      <c r="AN33">
        <v>307.58499999999998</v>
      </c>
      <c r="AO33">
        <v>30.675000000000001</v>
      </c>
      <c r="AP33">
        <v>307.58499999999998</v>
      </c>
      <c r="AQ33">
        <v>499.82600000000002</v>
      </c>
      <c r="AR33">
        <v>2234.797</v>
      </c>
      <c r="AS33">
        <v>2229.991</v>
      </c>
      <c r="AT33">
        <v>109.217</v>
      </c>
      <c r="AU33">
        <v>1999.3030000000001</v>
      </c>
      <c r="AV33">
        <v>2460.6799999999998</v>
      </c>
      <c r="AW33">
        <v>2982.1329999999998</v>
      </c>
      <c r="AX33">
        <v>2998.9540000000002</v>
      </c>
      <c r="AY33">
        <v>147.083</v>
      </c>
      <c r="AZ33">
        <v>2576.0239999999999</v>
      </c>
      <c r="BA33">
        <v>3268.0909999999999</v>
      </c>
      <c r="BB33">
        <v>1.28</v>
      </c>
      <c r="BC33">
        <v>167.047</v>
      </c>
      <c r="BD33">
        <v>164.99199999999999</v>
      </c>
      <c r="BE33">
        <v>7.6120000000000001</v>
      </c>
      <c r="BF33">
        <v>158.30799999999999</v>
      </c>
      <c r="BG33">
        <v>0.97500000000000009</v>
      </c>
      <c r="BH33">
        <v>185.852</v>
      </c>
      <c r="BI33">
        <v>0</v>
      </c>
      <c r="BJ33">
        <v>0.58299999999999996</v>
      </c>
      <c r="BK33">
        <v>-28.617000000000001</v>
      </c>
      <c r="BL33">
        <v>337.36500000000001</v>
      </c>
      <c r="BM33">
        <v>318.41199999999998</v>
      </c>
      <c r="BN33">
        <v>21.956</v>
      </c>
      <c r="BO33">
        <v>318.41199999999998</v>
      </c>
      <c r="BP33">
        <v>398.01400000000001</v>
      </c>
      <c r="BQ33">
        <v>1149.819</v>
      </c>
      <c r="BR33">
        <v>1114.44</v>
      </c>
      <c r="BS33">
        <v>72.968999999999994</v>
      </c>
      <c r="BT33">
        <v>1074.6389999999999</v>
      </c>
      <c r="BU33">
        <v>1273.646</v>
      </c>
      <c r="BV33">
        <v>3185</v>
      </c>
      <c r="BW33">
        <v>3144.3139999999999</v>
      </c>
      <c r="BX33">
        <v>132.41200000000001</v>
      </c>
      <c r="BY33">
        <v>2985.1080000000002</v>
      </c>
      <c r="BZ33">
        <v>3462.7260000000001</v>
      </c>
      <c r="CA33">
        <v>1.1599999999999999</v>
      </c>
      <c r="CB33">
        <v>4</v>
      </c>
      <c r="CC33">
        <v>1</v>
      </c>
      <c r="CD33">
        <v>0</v>
      </c>
      <c r="CE33">
        <v>3</v>
      </c>
      <c r="CF33">
        <v>1</v>
      </c>
    </row>
    <row r="34" spans="1:84" x14ac:dyDescent="0.35">
      <c r="A34" t="s">
        <v>305</v>
      </c>
      <c r="B34" t="str">
        <f t="shared" si="2"/>
        <v xml:space="preserve"> ca_ro_2004_09_03_927</v>
      </c>
      <c r="C34" s="1">
        <f t="shared" ref="C34:C65" si="3">DATEVALUE(SUBSTITUTE(_xlfn.TEXTAFTER(_xlfn.TEXTBEFORE(A34," -"),"a2_"),"_","/"))</f>
        <v>45761</v>
      </c>
      <c r="D34" t="s">
        <v>78</v>
      </c>
      <c r="E34">
        <v>176.066</v>
      </c>
      <c r="F34">
        <v>175.49700000000001</v>
      </c>
      <c r="G34">
        <v>5.0510000000000002</v>
      </c>
      <c r="H34">
        <v>172.554</v>
      </c>
      <c r="I34">
        <v>0.57171717171717162</v>
      </c>
      <c r="J34">
        <v>218.31700000000001</v>
      </c>
      <c r="K34">
        <v>0</v>
      </c>
      <c r="L34">
        <v>0.59199999999999997</v>
      </c>
      <c r="M34">
        <v>-28.108000000000001</v>
      </c>
      <c r="N34">
        <v>702.37599999999998</v>
      </c>
      <c r="O34">
        <v>714.68100000000004</v>
      </c>
      <c r="P34">
        <v>64.552000000000007</v>
      </c>
      <c r="Q34">
        <v>504.48</v>
      </c>
      <c r="R34">
        <v>1008.961</v>
      </c>
      <c r="S34">
        <v>1117.6500000000001</v>
      </c>
      <c r="T34">
        <v>1093.0409999999999</v>
      </c>
      <c r="U34">
        <v>72.650999999999996</v>
      </c>
      <c r="V34">
        <v>1051.001</v>
      </c>
      <c r="W34">
        <v>1471.4010000000001</v>
      </c>
      <c r="X34">
        <v>2897.174</v>
      </c>
      <c r="Y34">
        <v>2858.723</v>
      </c>
      <c r="Z34">
        <v>187.684</v>
      </c>
      <c r="AA34">
        <v>2522.402</v>
      </c>
      <c r="AB34">
        <v>3699.5230000000001</v>
      </c>
      <c r="AC34">
        <v>1.98</v>
      </c>
      <c r="AD34">
        <v>178.64400000000001</v>
      </c>
      <c r="AE34">
        <v>177.72</v>
      </c>
      <c r="AF34">
        <v>3.4950000000000001</v>
      </c>
      <c r="AG34">
        <v>174.60400000000001</v>
      </c>
      <c r="AH34">
        <v>0.8130208333333333</v>
      </c>
      <c r="AI34">
        <v>196</v>
      </c>
      <c r="AJ34">
        <v>0.98541666666666661</v>
      </c>
      <c r="AK34">
        <v>0.49399999999999999</v>
      </c>
      <c r="AL34">
        <v>-29.547999999999998</v>
      </c>
      <c r="AM34">
        <v>336.77300000000002</v>
      </c>
      <c r="AN34">
        <v>342.524</v>
      </c>
      <c r="AO34">
        <v>14.71</v>
      </c>
      <c r="AP34">
        <v>299.709</v>
      </c>
      <c r="AQ34">
        <v>342.524</v>
      </c>
      <c r="AR34">
        <v>1780.1379999999999</v>
      </c>
      <c r="AS34">
        <v>1798.252</v>
      </c>
      <c r="AT34">
        <v>137.102</v>
      </c>
      <c r="AU34">
        <v>1455.7280000000001</v>
      </c>
      <c r="AV34">
        <v>2012.33</v>
      </c>
      <c r="AW34">
        <v>3969.6869999999999</v>
      </c>
      <c r="AX34">
        <v>3981.8449999999998</v>
      </c>
      <c r="AY34">
        <v>128.667</v>
      </c>
      <c r="AZ34">
        <v>3125.5340000000001</v>
      </c>
      <c r="BA34">
        <v>4238.7380000000003</v>
      </c>
      <c r="BB34">
        <v>1.92</v>
      </c>
      <c r="BC34">
        <v>177.435</v>
      </c>
      <c r="BD34">
        <v>177.15899999999999</v>
      </c>
      <c r="BE34">
        <v>2.0569999999999999</v>
      </c>
      <c r="BF34">
        <v>175.09899999999999</v>
      </c>
      <c r="BG34">
        <v>0.12473684210526316</v>
      </c>
      <c r="BH34">
        <v>188.46199999999999</v>
      </c>
      <c r="BI34">
        <v>0.98526315789473695</v>
      </c>
      <c r="BJ34">
        <v>0.52200000000000002</v>
      </c>
      <c r="BK34">
        <v>-31.512</v>
      </c>
      <c r="BL34">
        <v>386.34899999999999</v>
      </c>
      <c r="BM34">
        <v>384.59300000000002</v>
      </c>
      <c r="BN34">
        <v>13.206</v>
      </c>
      <c r="BO34">
        <v>341.86</v>
      </c>
      <c r="BP34">
        <v>427.32600000000002</v>
      </c>
      <c r="BQ34">
        <v>989.596</v>
      </c>
      <c r="BR34">
        <v>982.84900000000005</v>
      </c>
      <c r="BS34">
        <v>20.995999999999999</v>
      </c>
      <c r="BT34">
        <v>940.11599999999999</v>
      </c>
      <c r="BU34">
        <v>1068.3140000000001</v>
      </c>
      <c r="BV34">
        <v>3481.1010000000001</v>
      </c>
      <c r="BW34">
        <v>3461.337</v>
      </c>
      <c r="BX34">
        <v>121.428</v>
      </c>
      <c r="BY34">
        <v>3204.942</v>
      </c>
      <c r="BZ34">
        <v>3803.1979999999999</v>
      </c>
      <c r="CA34">
        <v>1.9</v>
      </c>
      <c r="CB34">
        <v>6</v>
      </c>
      <c r="CC34">
        <v>1</v>
      </c>
      <c r="CD34">
        <v>1</v>
      </c>
      <c r="CE34">
        <v>2</v>
      </c>
      <c r="CF34">
        <v>3</v>
      </c>
    </row>
    <row r="35" spans="1:84" x14ac:dyDescent="0.35">
      <c r="A35" t="s">
        <v>408</v>
      </c>
      <c r="B35" t="str">
        <f>_xlfn.TEXTBEFORE(_xlfn.TEXTAFTER(A35,"-"),"_ONLY_VOWELS")</f>
        <v xml:space="preserve"> ca_te_2005_07_04_549</v>
      </c>
      <c r="C35" s="1">
        <f t="shared" si="3"/>
        <v>45798</v>
      </c>
      <c r="D35" t="s">
        <v>78</v>
      </c>
      <c r="E35">
        <v>185.81899999999999</v>
      </c>
      <c r="F35">
        <v>185.57300000000001</v>
      </c>
      <c r="G35">
        <v>4.3140000000000001</v>
      </c>
      <c r="H35">
        <v>180.52600000000001</v>
      </c>
      <c r="I35">
        <v>0.32261904761904764</v>
      </c>
      <c r="J35">
        <v>218.93600000000001</v>
      </c>
      <c r="K35">
        <v>1.369047619047619E-2</v>
      </c>
      <c r="L35">
        <v>0.73399999999999999</v>
      </c>
      <c r="M35">
        <v>-20.751999999999999</v>
      </c>
      <c r="N35">
        <v>790.75099999999998</v>
      </c>
      <c r="O35">
        <v>763.44200000000001</v>
      </c>
      <c r="P35">
        <v>59.844999999999999</v>
      </c>
      <c r="Q35">
        <v>628.71699999999998</v>
      </c>
      <c r="R35">
        <v>898.16700000000003</v>
      </c>
      <c r="S35">
        <v>1065.1500000000001</v>
      </c>
      <c r="T35">
        <v>1032.8920000000001</v>
      </c>
      <c r="U35">
        <v>54.835000000000001</v>
      </c>
      <c r="V35">
        <v>943.07500000000005</v>
      </c>
      <c r="W35">
        <v>1167.617</v>
      </c>
      <c r="X35">
        <v>3741.3510000000001</v>
      </c>
      <c r="Y35">
        <v>3727.393</v>
      </c>
      <c r="Z35">
        <v>224.96299999999999</v>
      </c>
      <c r="AA35">
        <v>2649.5929999999998</v>
      </c>
      <c r="AB35">
        <v>4221.3850000000002</v>
      </c>
      <c r="AC35">
        <v>1.68</v>
      </c>
      <c r="AD35">
        <v>191.92500000000001</v>
      </c>
      <c r="AE35">
        <v>191.32400000000001</v>
      </c>
      <c r="AF35">
        <v>4.0750000000000002</v>
      </c>
      <c r="AG35">
        <v>185.964</v>
      </c>
      <c r="AH35">
        <v>0.88719512195121963</v>
      </c>
      <c r="AI35">
        <v>212.75</v>
      </c>
      <c r="AJ35">
        <v>1.3414634146341463E-2</v>
      </c>
      <c r="AK35">
        <v>0.56000000000000005</v>
      </c>
      <c r="AL35">
        <v>-30.227</v>
      </c>
      <c r="AM35">
        <v>356.161</v>
      </c>
      <c r="AN35">
        <v>367.88299999999998</v>
      </c>
      <c r="AO35">
        <v>36.607999999999997</v>
      </c>
      <c r="AP35">
        <v>275.91199999999998</v>
      </c>
      <c r="AQ35">
        <v>459.85399999999998</v>
      </c>
      <c r="AR35">
        <v>1835.066</v>
      </c>
      <c r="AS35">
        <v>1885.4010000000001</v>
      </c>
      <c r="AT35">
        <v>224.27199999999999</v>
      </c>
      <c r="AU35">
        <v>1195.6199999999999</v>
      </c>
      <c r="AV35">
        <v>2253.2849999999999</v>
      </c>
      <c r="AW35">
        <v>3255.0210000000002</v>
      </c>
      <c r="AX35">
        <v>3218.9780000000001</v>
      </c>
      <c r="AY35">
        <v>330.14100000000002</v>
      </c>
      <c r="AZ35">
        <v>2437.2260000000001</v>
      </c>
      <c r="BA35">
        <v>4460.5839999999998</v>
      </c>
      <c r="BB35">
        <v>1.64</v>
      </c>
      <c r="BC35">
        <v>193.697</v>
      </c>
      <c r="BD35">
        <v>193.179</v>
      </c>
      <c r="BE35">
        <v>2.8490000000000002</v>
      </c>
      <c r="BF35">
        <v>188.11699999999999</v>
      </c>
      <c r="BG35">
        <v>0.94610389610389611</v>
      </c>
      <c r="BH35">
        <v>208.01900000000001</v>
      </c>
      <c r="BI35">
        <v>0</v>
      </c>
      <c r="BJ35">
        <v>0.39300000000000002</v>
      </c>
      <c r="BK35">
        <v>-29.984000000000002</v>
      </c>
      <c r="BL35">
        <v>451.26799999999997</v>
      </c>
      <c r="BM35">
        <v>459.375</v>
      </c>
      <c r="BN35">
        <v>27.425999999999998</v>
      </c>
      <c r="BO35">
        <v>413.43799999999999</v>
      </c>
      <c r="BP35">
        <v>551.25</v>
      </c>
      <c r="BQ35">
        <v>1005.84</v>
      </c>
      <c r="BR35">
        <v>1010.625</v>
      </c>
      <c r="BS35">
        <v>21.690999999999999</v>
      </c>
      <c r="BT35">
        <v>964.68700000000001</v>
      </c>
      <c r="BU35">
        <v>1102.5</v>
      </c>
      <c r="BV35">
        <v>3550.5030000000002</v>
      </c>
      <c r="BW35">
        <v>3583.125</v>
      </c>
      <c r="BX35">
        <v>220.32300000000001</v>
      </c>
      <c r="BY35">
        <v>2802.1880000000001</v>
      </c>
      <c r="BZ35">
        <v>3950.625</v>
      </c>
      <c r="CA35">
        <v>1.54</v>
      </c>
      <c r="CB35">
        <v>4</v>
      </c>
      <c r="CC35">
        <v>5</v>
      </c>
      <c r="CD35">
        <v>3</v>
      </c>
      <c r="CE35">
        <v>3</v>
      </c>
      <c r="CF35">
        <v>4</v>
      </c>
    </row>
    <row r="36" spans="1:84" x14ac:dyDescent="0.35">
      <c r="A36" t="s">
        <v>306</v>
      </c>
      <c r="B36" t="str">
        <f t="shared" ref="B36:B57" si="4">_xlfn.TEXTAFTER(A36,"-")</f>
        <v xml:space="preserve"> ca_ur_2005_01_27_051</v>
      </c>
      <c r="C36" s="1">
        <f t="shared" si="3"/>
        <v>45761</v>
      </c>
      <c r="D36" t="s">
        <v>78</v>
      </c>
      <c r="E36">
        <v>231.821</v>
      </c>
      <c r="F36">
        <v>231.06299999999999</v>
      </c>
      <c r="G36">
        <v>6.774</v>
      </c>
      <c r="H36">
        <v>228.49700000000001</v>
      </c>
      <c r="I36">
        <v>6.123853211009174E-2</v>
      </c>
      <c r="J36">
        <v>310.56299999999999</v>
      </c>
      <c r="K36">
        <v>0</v>
      </c>
      <c r="L36">
        <v>0.27800000000000002</v>
      </c>
      <c r="M36">
        <v>-25.565999999999999</v>
      </c>
      <c r="N36">
        <v>514.47799999999995</v>
      </c>
      <c r="O36">
        <v>507.54500000000002</v>
      </c>
      <c r="P36">
        <v>60.134999999999998</v>
      </c>
      <c r="Q36">
        <v>451.15100000000001</v>
      </c>
      <c r="R36">
        <v>1015.09</v>
      </c>
      <c r="S36">
        <v>1298.6769999999999</v>
      </c>
      <c r="T36">
        <v>1297.059</v>
      </c>
      <c r="U36">
        <v>47.002000000000002</v>
      </c>
      <c r="V36">
        <v>1127.877</v>
      </c>
      <c r="W36">
        <v>1466.24</v>
      </c>
      <c r="X36">
        <v>3801.732</v>
      </c>
      <c r="Y36">
        <v>3778.3890000000001</v>
      </c>
      <c r="Z36">
        <v>397.99599999999998</v>
      </c>
      <c r="AA36">
        <v>2763.299</v>
      </c>
      <c r="AB36">
        <v>4849.8720000000003</v>
      </c>
      <c r="AC36">
        <v>4.3600000000000003</v>
      </c>
      <c r="AD36">
        <v>236.21600000000001</v>
      </c>
      <c r="AE36">
        <v>235.82900000000001</v>
      </c>
      <c r="AF36">
        <v>3.161</v>
      </c>
      <c r="AG36">
        <v>233.15700000000001</v>
      </c>
      <c r="AH36">
        <v>0.22927756653992395</v>
      </c>
      <c r="AI36">
        <v>280.892</v>
      </c>
      <c r="AJ36">
        <v>0</v>
      </c>
      <c r="AK36">
        <v>0.26800000000000002</v>
      </c>
      <c r="AL36">
        <v>-31.68</v>
      </c>
      <c r="AM36">
        <v>291.32</v>
      </c>
      <c r="AN36">
        <v>287.10899999999998</v>
      </c>
      <c r="AO36">
        <v>27.462</v>
      </c>
      <c r="AP36">
        <v>229.68700000000001</v>
      </c>
      <c r="AQ36">
        <v>401.95299999999997</v>
      </c>
      <c r="AR36">
        <v>2328.8319999999999</v>
      </c>
      <c r="AS36">
        <v>2354.297</v>
      </c>
      <c r="AT36">
        <v>172.506</v>
      </c>
      <c r="AU36">
        <v>1722.6559999999999</v>
      </c>
      <c r="AV36">
        <v>2583.9839999999999</v>
      </c>
      <c r="AW36">
        <v>3972.828</v>
      </c>
      <c r="AX36">
        <v>4019.5309999999999</v>
      </c>
      <c r="AY36">
        <v>216.68100000000001</v>
      </c>
      <c r="AZ36">
        <v>2985.9369999999999</v>
      </c>
      <c r="BA36">
        <v>4364.0630000000001</v>
      </c>
      <c r="BB36">
        <v>5.26</v>
      </c>
      <c r="BC36">
        <v>235.79300000000001</v>
      </c>
      <c r="BD36">
        <v>235.11</v>
      </c>
      <c r="BE36">
        <v>6.2850000000000001</v>
      </c>
      <c r="BF36">
        <v>232.10499999999999</v>
      </c>
      <c r="BG36">
        <v>0.22775590551181102</v>
      </c>
      <c r="BH36">
        <v>306.25</v>
      </c>
      <c r="BI36">
        <v>0</v>
      </c>
      <c r="BJ36">
        <v>0.3</v>
      </c>
      <c r="BK36">
        <v>-31.027999999999999</v>
      </c>
      <c r="BL36">
        <v>388.63099999999997</v>
      </c>
      <c r="BM36">
        <v>400.38900000000001</v>
      </c>
      <c r="BN36">
        <v>30.036999999999999</v>
      </c>
      <c r="BO36">
        <v>285.99200000000002</v>
      </c>
      <c r="BP36">
        <v>457.58800000000002</v>
      </c>
      <c r="BQ36">
        <v>1005.532</v>
      </c>
      <c r="BR36">
        <v>972.37400000000002</v>
      </c>
      <c r="BS36">
        <v>54.771999999999998</v>
      </c>
      <c r="BT36">
        <v>972.37400000000002</v>
      </c>
      <c r="BU36">
        <v>1487.16</v>
      </c>
      <c r="BV36">
        <v>4496.7079999999996</v>
      </c>
      <c r="BW36">
        <v>4518.6769999999997</v>
      </c>
      <c r="BX36">
        <v>211.947</v>
      </c>
      <c r="BY36">
        <v>2974.319</v>
      </c>
      <c r="BZ36">
        <v>4861.8680000000004</v>
      </c>
      <c r="CA36">
        <v>5.08</v>
      </c>
      <c r="CB36">
        <v>8</v>
      </c>
      <c r="CC36">
        <v>2</v>
      </c>
      <c r="CD36">
        <v>1</v>
      </c>
      <c r="CE36">
        <v>3</v>
      </c>
      <c r="CF36">
        <v>5</v>
      </c>
    </row>
    <row r="37" spans="1:84" x14ac:dyDescent="0.35">
      <c r="A37" t="s">
        <v>307</v>
      </c>
      <c r="B37" t="str">
        <f t="shared" si="4"/>
        <v xml:space="preserve"> ch_ar_1987_08_23_929</v>
      </c>
      <c r="C37" s="1">
        <f t="shared" si="3"/>
        <v>45761</v>
      </c>
      <c r="D37" t="s">
        <v>78</v>
      </c>
      <c r="E37">
        <v>155.477</v>
      </c>
      <c r="F37">
        <v>154.65899999999999</v>
      </c>
      <c r="G37">
        <v>8.6349999999999998</v>
      </c>
      <c r="H37">
        <v>149.203</v>
      </c>
      <c r="I37">
        <v>0.95776699029126211</v>
      </c>
      <c r="J37">
        <v>213.33799999999999</v>
      </c>
      <c r="K37">
        <v>0.98446601941747569</v>
      </c>
      <c r="L37">
        <v>1.351</v>
      </c>
      <c r="M37">
        <v>-26.137</v>
      </c>
      <c r="N37">
        <v>817.18700000000001</v>
      </c>
      <c r="O37">
        <v>850.21</v>
      </c>
      <c r="P37">
        <v>143.24100000000001</v>
      </c>
      <c r="Q37">
        <v>295.72500000000002</v>
      </c>
      <c r="R37">
        <v>961.10599999999999</v>
      </c>
      <c r="S37">
        <v>1021.365</v>
      </c>
      <c r="T37">
        <v>998.072</v>
      </c>
      <c r="U37">
        <v>53.889000000000003</v>
      </c>
      <c r="V37">
        <v>961.10599999999999</v>
      </c>
      <c r="W37">
        <v>1256.8320000000001</v>
      </c>
      <c r="X37">
        <v>2695.0410000000002</v>
      </c>
      <c r="Y37">
        <v>2661.5259999999998</v>
      </c>
      <c r="Z37">
        <v>162.17699999999999</v>
      </c>
      <c r="AA37">
        <v>2513.663</v>
      </c>
      <c r="AB37">
        <v>3474.7689999999998</v>
      </c>
      <c r="AC37">
        <v>2.06</v>
      </c>
      <c r="AD37">
        <v>161.65899999999999</v>
      </c>
      <c r="AE37">
        <v>161.37</v>
      </c>
      <c r="AF37">
        <v>10.202</v>
      </c>
      <c r="AG37">
        <v>139.74600000000001</v>
      </c>
      <c r="AH37">
        <v>0.95789473684210535</v>
      </c>
      <c r="AI37">
        <v>238.74700000000001</v>
      </c>
      <c r="AJ37">
        <v>1.368421052631579E-2</v>
      </c>
      <c r="AK37">
        <v>1.6479999999999999</v>
      </c>
      <c r="AL37">
        <v>-28.946999999999999</v>
      </c>
      <c r="AM37">
        <v>386.20699999999999</v>
      </c>
      <c r="AN37">
        <v>389.92</v>
      </c>
      <c r="AO37">
        <v>30.295999999999999</v>
      </c>
      <c r="AP37">
        <v>311.93599999999998</v>
      </c>
      <c r="AQ37">
        <v>428.91199999999998</v>
      </c>
      <c r="AR37">
        <v>1995.864</v>
      </c>
      <c r="AS37">
        <v>2105.5700000000002</v>
      </c>
      <c r="AT37">
        <v>323.28300000000002</v>
      </c>
      <c r="AU37">
        <v>1169.761</v>
      </c>
      <c r="AV37">
        <v>2417.5070000000001</v>
      </c>
      <c r="AW37">
        <v>3158.355</v>
      </c>
      <c r="AX37">
        <v>3158.355</v>
      </c>
      <c r="AY37">
        <v>206.94</v>
      </c>
      <c r="AZ37">
        <v>2612.4670000000001</v>
      </c>
      <c r="BA37">
        <v>3665.252</v>
      </c>
      <c r="BB37">
        <v>1.9</v>
      </c>
      <c r="BC37">
        <v>159.369</v>
      </c>
      <c r="BD37">
        <v>161.20099999999999</v>
      </c>
      <c r="BE37">
        <v>9.1129999999999995</v>
      </c>
      <c r="BF37">
        <v>120.917</v>
      </c>
      <c r="BG37">
        <v>0.99821428571428583</v>
      </c>
      <c r="BH37">
        <v>169.52199999999999</v>
      </c>
      <c r="BI37">
        <v>2.7976190476190477E-2</v>
      </c>
      <c r="BJ37">
        <v>0.77500000000000002</v>
      </c>
      <c r="BK37">
        <v>-28.507000000000001</v>
      </c>
      <c r="BL37">
        <v>458.62099999999998</v>
      </c>
      <c r="BM37">
        <v>456.20699999999999</v>
      </c>
      <c r="BN37">
        <v>36.69</v>
      </c>
      <c r="BO37">
        <v>342.15499999999997</v>
      </c>
      <c r="BP37">
        <v>494.22399999999999</v>
      </c>
      <c r="BQ37">
        <v>1041.039</v>
      </c>
      <c r="BR37">
        <v>1026.4659999999999</v>
      </c>
      <c r="BS37">
        <v>55.155000000000001</v>
      </c>
      <c r="BT37">
        <v>988.44799999999998</v>
      </c>
      <c r="BU37">
        <v>1368.6210000000001</v>
      </c>
      <c r="BV37">
        <v>3060.0859999999998</v>
      </c>
      <c r="BW37">
        <v>3003.3620000000001</v>
      </c>
      <c r="BX37">
        <v>386.971</v>
      </c>
      <c r="BY37">
        <v>2433.1030000000001</v>
      </c>
      <c r="BZ37">
        <v>3877.759</v>
      </c>
      <c r="CA37">
        <v>1.68</v>
      </c>
      <c r="CB37">
        <v>7</v>
      </c>
      <c r="CC37">
        <v>7</v>
      </c>
      <c r="CD37">
        <v>2</v>
      </c>
      <c r="CE37">
        <v>4</v>
      </c>
      <c r="CF37">
        <v>3</v>
      </c>
    </row>
    <row r="38" spans="1:84" x14ac:dyDescent="0.35">
      <c r="A38" t="s">
        <v>308</v>
      </c>
      <c r="B38" t="str">
        <f t="shared" si="4"/>
        <v xml:space="preserve"> ch_ar_2000_08_08_388</v>
      </c>
      <c r="C38" s="1">
        <f t="shared" si="3"/>
        <v>45761</v>
      </c>
      <c r="D38" t="s">
        <v>78</v>
      </c>
      <c r="E38">
        <v>202.34800000000001</v>
      </c>
      <c r="F38">
        <v>201.30500000000001</v>
      </c>
      <c r="G38">
        <v>11.686999999999999</v>
      </c>
      <c r="H38">
        <v>194.64099999999999</v>
      </c>
      <c r="I38">
        <v>0.43009259259259258</v>
      </c>
      <c r="J38">
        <v>294</v>
      </c>
      <c r="K38">
        <v>9.7222222222222224E-3</v>
      </c>
      <c r="L38">
        <v>0.91500000000000004</v>
      </c>
      <c r="M38">
        <v>-26.263999999999999</v>
      </c>
      <c r="N38">
        <v>475.67500000000001</v>
      </c>
      <c r="O38">
        <v>440.51100000000002</v>
      </c>
      <c r="P38">
        <v>104.03700000000001</v>
      </c>
      <c r="Q38">
        <v>391.565</v>
      </c>
      <c r="R38">
        <v>1125.749</v>
      </c>
      <c r="S38">
        <v>1177.7539999999999</v>
      </c>
      <c r="T38">
        <v>1174.6949999999999</v>
      </c>
      <c r="U38">
        <v>77.084000000000003</v>
      </c>
      <c r="V38">
        <v>1076.8040000000001</v>
      </c>
      <c r="W38">
        <v>1468.3679999999999</v>
      </c>
      <c r="X38">
        <v>2625.65</v>
      </c>
      <c r="Y38">
        <v>2594.1179999999999</v>
      </c>
      <c r="Z38">
        <v>252.16300000000001</v>
      </c>
      <c r="AA38">
        <v>2104.6610000000001</v>
      </c>
      <c r="AB38">
        <v>3279.3560000000002</v>
      </c>
      <c r="AC38">
        <v>2.16</v>
      </c>
      <c r="AD38">
        <v>201.61099999999999</v>
      </c>
      <c r="AE38">
        <v>200.065</v>
      </c>
      <c r="AF38">
        <v>4.4569999999999999</v>
      </c>
      <c r="AG38">
        <v>194.518</v>
      </c>
      <c r="AH38">
        <v>0.80999999999999994</v>
      </c>
      <c r="AI38">
        <v>223.04900000000001</v>
      </c>
      <c r="AJ38">
        <v>0</v>
      </c>
      <c r="AK38">
        <v>0.56899999999999995</v>
      </c>
      <c r="AL38">
        <v>-29.577000000000002</v>
      </c>
      <c r="AM38">
        <v>333.15</v>
      </c>
      <c r="AN38">
        <v>340.35300000000001</v>
      </c>
      <c r="AO38">
        <v>17.602</v>
      </c>
      <c r="AP38">
        <v>291.73099999999999</v>
      </c>
      <c r="AQ38">
        <v>340.35300000000001</v>
      </c>
      <c r="AR38">
        <v>1712.9839999999999</v>
      </c>
      <c r="AS38">
        <v>1701.7639999999999</v>
      </c>
      <c r="AT38">
        <v>89.088999999999999</v>
      </c>
      <c r="AU38">
        <v>1458.655</v>
      </c>
      <c r="AV38">
        <v>1944.873</v>
      </c>
      <c r="AW38">
        <v>3552.5990000000002</v>
      </c>
      <c r="AX38">
        <v>3549.3939999999998</v>
      </c>
      <c r="AY38">
        <v>220.3</v>
      </c>
      <c r="AZ38">
        <v>2965.9319999999998</v>
      </c>
      <c r="BA38">
        <v>4181.4769999999999</v>
      </c>
      <c r="BB38">
        <v>1.9</v>
      </c>
      <c r="BC38">
        <v>203.43299999999999</v>
      </c>
      <c r="BD38">
        <v>201.89699999999999</v>
      </c>
      <c r="BE38">
        <v>5.2990000000000004</v>
      </c>
      <c r="BF38">
        <v>199.548</v>
      </c>
      <c r="BG38">
        <v>0.97441860465116281</v>
      </c>
      <c r="BH38">
        <v>234.041</v>
      </c>
      <c r="BI38">
        <v>0</v>
      </c>
      <c r="BJ38">
        <v>0.47399999999999998</v>
      </c>
      <c r="BK38">
        <v>-28.771000000000001</v>
      </c>
      <c r="BL38">
        <v>338.48700000000002</v>
      </c>
      <c r="BM38">
        <v>338.48700000000002</v>
      </c>
      <c r="BN38">
        <v>39.481999999999999</v>
      </c>
      <c r="BO38">
        <v>290.13200000000001</v>
      </c>
      <c r="BP38">
        <v>386.84199999999998</v>
      </c>
      <c r="BQ38">
        <v>1411.1559999999999</v>
      </c>
      <c r="BR38">
        <v>1402.3030000000001</v>
      </c>
      <c r="BS38">
        <v>113.05200000000001</v>
      </c>
      <c r="BT38">
        <v>1160.5260000000001</v>
      </c>
      <c r="BU38">
        <v>1644.079</v>
      </c>
      <c r="BV38">
        <v>3123.0419999999999</v>
      </c>
      <c r="BW38">
        <v>3143.0920000000001</v>
      </c>
      <c r="BX38">
        <v>116.962</v>
      </c>
      <c r="BY38">
        <v>2804.605</v>
      </c>
      <c r="BZ38">
        <v>3384.8679999999999</v>
      </c>
      <c r="CA38">
        <v>1.72</v>
      </c>
    </row>
    <row r="39" spans="1:84" x14ac:dyDescent="0.35">
      <c r="A39" t="s">
        <v>309</v>
      </c>
      <c r="B39" t="str">
        <f t="shared" si="4"/>
        <v xml:space="preserve"> ch_bi_2001_01_28_407</v>
      </c>
      <c r="C39" s="1">
        <f t="shared" si="3"/>
        <v>45761</v>
      </c>
      <c r="D39" t="s">
        <v>78</v>
      </c>
      <c r="E39">
        <v>219.869</v>
      </c>
      <c r="F39">
        <v>219.559</v>
      </c>
      <c r="G39">
        <v>2.23</v>
      </c>
      <c r="H39">
        <v>212.01900000000001</v>
      </c>
      <c r="I39">
        <v>0</v>
      </c>
      <c r="J39">
        <v>228.16</v>
      </c>
      <c r="K39">
        <v>0.98843537414965998</v>
      </c>
      <c r="L39">
        <v>0.45800000000000002</v>
      </c>
      <c r="M39">
        <v>-27.925999999999998</v>
      </c>
      <c r="N39">
        <v>692.19600000000003</v>
      </c>
      <c r="O39">
        <v>693.22900000000004</v>
      </c>
      <c r="P39">
        <v>77.935000000000002</v>
      </c>
      <c r="Q39">
        <v>426.60199999999998</v>
      </c>
      <c r="R39">
        <v>1119.8309999999999</v>
      </c>
      <c r="S39">
        <v>1291.5039999999999</v>
      </c>
      <c r="T39">
        <v>1279.807</v>
      </c>
      <c r="U39">
        <v>43.512999999999998</v>
      </c>
      <c r="V39">
        <v>1119.8309999999999</v>
      </c>
      <c r="W39">
        <v>1386.4570000000001</v>
      </c>
      <c r="X39">
        <v>2929.1060000000002</v>
      </c>
      <c r="Y39">
        <v>2932.89</v>
      </c>
      <c r="Z39">
        <v>182.72499999999999</v>
      </c>
      <c r="AA39">
        <v>2399.6370000000002</v>
      </c>
      <c r="AB39">
        <v>3306.1669999999999</v>
      </c>
      <c r="AC39">
        <v>2.94</v>
      </c>
      <c r="AD39">
        <v>219.45</v>
      </c>
      <c r="AE39">
        <v>219.87200000000001</v>
      </c>
      <c r="AF39">
        <v>10.226000000000001</v>
      </c>
      <c r="AG39">
        <v>117.376</v>
      </c>
      <c r="AH39">
        <v>0</v>
      </c>
      <c r="AI39">
        <v>229.006</v>
      </c>
      <c r="AJ39">
        <v>9.2233009708737861E-3</v>
      </c>
      <c r="AK39">
        <v>1.256</v>
      </c>
      <c r="AL39">
        <v>-27.745999999999999</v>
      </c>
      <c r="AM39">
        <v>361.42399999999998</v>
      </c>
      <c r="AN39">
        <v>369.25799999999998</v>
      </c>
      <c r="AO39">
        <v>18.852</v>
      </c>
      <c r="AP39">
        <v>316.50700000000001</v>
      </c>
      <c r="AQ39">
        <v>369.25799999999998</v>
      </c>
      <c r="AR39">
        <v>2435.9749999999999</v>
      </c>
      <c r="AS39">
        <v>2479.306</v>
      </c>
      <c r="AT39">
        <v>124.768</v>
      </c>
      <c r="AU39">
        <v>2162.799</v>
      </c>
      <c r="AV39">
        <v>2584.8090000000002</v>
      </c>
      <c r="AW39">
        <v>3457.915</v>
      </c>
      <c r="AX39">
        <v>3481.5790000000002</v>
      </c>
      <c r="AY39">
        <v>173.18100000000001</v>
      </c>
      <c r="AZ39">
        <v>2848.5650000000001</v>
      </c>
      <c r="BA39">
        <v>3850.837</v>
      </c>
      <c r="BB39">
        <v>2.06</v>
      </c>
      <c r="BC39">
        <v>223.88200000000001</v>
      </c>
      <c r="BD39">
        <v>224.346</v>
      </c>
      <c r="BE39">
        <v>12.037000000000001</v>
      </c>
      <c r="BF39">
        <v>121.82299999999999</v>
      </c>
      <c r="BG39">
        <v>0</v>
      </c>
      <c r="BH39">
        <v>239.11699999999999</v>
      </c>
      <c r="BI39">
        <v>1.2499999999999999E-2</v>
      </c>
      <c r="BJ39">
        <v>1.452</v>
      </c>
      <c r="BK39">
        <v>-32.750999999999998</v>
      </c>
      <c r="BL39">
        <v>377.846</v>
      </c>
      <c r="BM39">
        <v>377.846</v>
      </c>
      <c r="BN39">
        <v>8643</v>
      </c>
      <c r="BO39">
        <v>323.86799999999999</v>
      </c>
      <c r="BP39">
        <v>431.82400000000001</v>
      </c>
      <c r="BQ39">
        <v>1218.6559999999999</v>
      </c>
      <c r="BR39">
        <v>1241.4929999999999</v>
      </c>
      <c r="BS39">
        <v>51.033000000000001</v>
      </c>
      <c r="BT39">
        <v>1079.559</v>
      </c>
      <c r="BU39">
        <v>1349.4490000000001</v>
      </c>
      <c r="BV39">
        <v>3632.0430000000001</v>
      </c>
      <c r="BW39">
        <v>3670.502</v>
      </c>
      <c r="BX39">
        <v>241.732</v>
      </c>
      <c r="BY39">
        <v>2860.8319999999999</v>
      </c>
      <c r="BZ39">
        <v>4264.259</v>
      </c>
      <c r="CA39">
        <v>1.52</v>
      </c>
    </row>
    <row r="40" spans="1:84" x14ac:dyDescent="0.35">
      <c r="A40" t="s">
        <v>310</v>
      </c>
      <c r="B40" t="str">
        <f t="shared" si="4"/>
        <v xml:space="preserve"> ch_bl_2001_09_25_360</v>
      </c>
      <c r="C40" s="1">
        <f t="shared" si="3"/>
        <v>45761</v>
      </c>
      <c r="D40" t="s">
        <v>78</v>
      </c>
      <c r="E40">
        <v>202.57400000000001</v>
      </c>
      <c r="F40">
        <v>200.977</v>
      </c>
      <c r="G40">
        <v>17.742000000000001</v>
      </c>
      <c r="H40">
        <v>188.46199999999999</v>
      </c>
      <c r="I40">
        <v>4.8437500000000001E-2</v>
      </c>
      <c r="J40">
        <v>348.42</v>
      </c>
      <c r="K40">
        <v>1.6015624999999999E-2</v>
      </c>
      <c r="L40">
        <v>1.524</v>
      </c>
      <c r="M40">
        <v>-28.969000000000001</v>
      </c>
      <c r="N40">
        <v>433.12700000000001</v>
      </c>
      <c r="O40">
        <v>440.02199999999999</v>
      </c>
      <c r="P40">
        <v>103.25700000000001</v>
      </c>
      <c r="Q40">
        <v>293.34800000000001</v>
      </c>
      <c r="R40">
        <v>1026.7180000000001</v>
      </c>
      <c r="S40">
        <v>1438.519</v>
      </c>
      <c r="T40">
        <v>1417.8489999999999</v>
      </c>
      <c r="U40">
        <v>92.64</v>
      </c>
      <c r="V40">
        <v>1222.2840000000001</v>
      </c>
      <c r="W40">
        <v>1711.1969999999999</v>
      </c>
      <c r="X40">
        <v>3340.3829999999998</v>
      </c>
      <c r="Y40">
        <v>3275.721</v>
      </c>
      <c r="Z40">
        <v>351.98399999999998</v>
      </c>
      <c r="AA40">
        <v>2151.2199999999998</v>
      </c>
      <c r="AB40">
        <v>4693.57</v>
      </c>
      <c r="AC40">
        <v>2.56</v>
      </c>
      <c r="AD40">
        <v>202.38399999999999</v>
      </c>
      <c r="AE40">
        <v>202.029</v>
      </c>
      <c r="AF40">
        <v>3.1480000000000001</v>
      </c>
      <c r="AG40">
        <v>184.51900000000001</v>
      </c>
      <c r="AH40">
        <v>0.95619469026548687</v>
      </c>
      <c r="AI40">
        <v>216.48</v>
      </c>
      <c r="AJ40">
        <v>0.93805309734513287</v>
      </c>
      <c r="AK40">
        <v>0.61599999999999999</v>
      </c>
      <c r="AL40">
        <v>-31.617000000000001</v>
      </c>
      <c r="AM40">
        <v>343.38200000000001</v>
      </c>
      <c r="AN40">
        <v>343.38200000000001</v>
      </c>
      <c r="AO40">
        <v>22.707999999999998</v>
      </c>
      <c r="AP40">
        <v>294.327</v>
      </c>
      <c r="AQ40">
        <v>441.49099999999999</v>
      </c>
      <c r="AR40">
        <v>1892.1020000000001</v>
      </c>
      <c r="AS40">
        <v>1815.0170000000001</v>
      </c>
      <c r="AT40">
        <v>370.19900000000001</v>
      </c>
      <c r="AU40">
        <v>1422.5809999999999</v>
      </c>
      <c r="AV40">
        <v>2550.8339999999998</v>
      </c>
      <c r="AW40">
        <v>3838.8530000000001</v>
      </c>
      <c r="AX40">
        <v>3826.2510000000002</v>
      </c>
      <c r="AY40">
        <v>175.529</v>
      </c>
      <c r="AZ40">
        <v>3433.8150000000001</v>
      </c>
      <c r="BA40">
        <v>4660.1779999999999</v>
      </c>
      <c r="BB40">
        <v>2.2599999999999998</v>
      </c>
      <c r="BC40">
        <v>201.535</v>
      </c>
      <c r="BD40">
        <v>202.559</v>
      </c>
      <c r="BE40">
        <v>14.375</v>
      </c>
      <c r="BF40">
        <v>102.96899999999999</v>
      </c>
      <c r="BG40">
        <v>3.5344827586206898E-2</v>
      </c>
      <c r="BH40">
        <v>263.17099999999999</v>
      </c>
      <c r="BI40">
        <v>1.7672413793103449E-2</v>
      </c>
      <c r="BJ40">
        <v>3.9449999999999998</v>
      </c>
      <c r="BK40">
        <v>-31.923999999999999</v>
      </c>
      <c r="BL40">
        <v>346.048</v>
      </c>
      <c r="BM40">
        <v>343.76400000000001</v>
      </c>
      <c r="BN40">
        <v>21.181999999999999</v>
      </c>
      <c r="BO40">
        <v>294.65499999999997</v>
      </c>
      <c r="BP40">
        <v>491.09100000000001</v>
      </c>
      <c r="BQ40">
        <v>1381.194</v>
      </c>
      <c r="BR40">
        <v>1325.9469999999999</v>
      </c>
      <c r="BS40">
        <v>167.255</v>
      </c>
      <c r="BT40">
        <v>1178.6189999999999</v>
      </c>
      <c r="BU40">
        <v>2062.5839999999998</v>
      </c>
      <c r="BV40">
        <v>3019.335</v>
      </c>
      <c r="BW40">
        <v>2995.6570000000002</v>
      </c>
      <c r="BX40">
        <v>206.465</v>
      </c>
      <c r="BY40">
        <v>2651.893</v>
      </c>
      <c r="BZ40">
        <v>4076.058</v>
      </c>
      <c r="CA40">
        <v>2.3199999999999998</v>
      </c>
      <c r="CB40">
        <v>4</v>
      </c>
      <c r="CC40">
        <v>4</v>
      </c>
      <c r="CD40">
        <v>1</v>
      </c>
      <c r="CE40">
        <v>5</v>
      </c>
      <c r="CF40">
        <v>3</v>
      </c>
    </row>
    <row r="41" spans="1:84" x14ac:dyDescent="0.35">
      <c r="A41" t="s">
        <v>311</v>
      </c>
      <c r="B41" t="str">
        <f t="shared" si="4"/>
        <v xml:space="preserve"> ch_ch_1999_10_05_790</v>
      </c>
      <c r="C41" s="1">
        <f t="shared" si="3"/>
        <v>45761</v>
      </c>
      <c r="D41" t="s">
        <v>78</v>
      </c>
      <c r="E41">
        <v>198.65899999999999</v>
      </c>
      <c r="F41">
        <v>197.75800000000001</v>
      </c>
      <c r="G41">
        <v>3.7749999999999999</v>
      </c>
      <c r="H41">
        <v>194.15100000000001</v>
      </c>
      <c r="I41">
        <v>0.59183673469387754</v>
      </c>
      <c r="J41">
        <v>216.02500000000001</v>
      </c>
      <c r="K41">
        <v>1.0714285714285714E-2</v>
      </c>
      <c r="L41">
        <v>0.44900000000000001</v>
      </c>
      <c r="M41">
        <v>-22.248999999999999</v>
      </c>
      <c r="N41">
        <v>670.06500000000005</v>
      </c>
      <c r="O41">
        <v>667.45899999999995</v>
      </c>
      <c r="P41">
        <v>94.129000000000005</v>
      </c>
      <c r="Q41">
        <v>286.05399999999997</v>
      </c>
      <c r="R41">
        <v>953.51400000000001</v>
      </c>
      <c r="S41">
        <v>1084.817</v>
      </c>
      <c r="T41">
        <v>1096.5409999999999</v>
      </c>
      <c r="U41">
        <v>39.341999999999999</v>
      </c>
      <c r="V41">
        <v>1001.189</v>
      </c>
      <c r="W41">
        <v>1191.8920000000001</v>
      </c>
      <c r="X41">
        <v>2871.6219999999998</v>
      </c>
      <c r="Y41">
        <v>2860.5410000000002</v>
      </c>
      <c r="Z41">
        <v>120.785</v>
      </c>
      <c r="AA41">
        <v>2669.8380000000002</v>
      </c>
      <c r="AB41">
        <v>3337.297</v>
      </c>
      <c r="AC41">
        <v>3.92</v>
      </c>
      <c r="AD41">
        <v>199.923</v>
      </c>
      <c r="AE41">
        <v>198.52099999999999</v>
      </c>
      <c r="AF41">
        <v>6.702</v>
      </c>
      <c r="AG41">
        <v>190.791</v>
      </c>
      <c r="AH41">
        <v>0.8165</v>
      </c>
      <c r="AI41">
        <v>247.75299999999999</v>
      </c>
      <c r="AJ41">
        <v>5.2500000000000003E-3</v>
      </c>
      <c r="AK41">
        <v>0.754</v>
      </c>
      <c r="AL41">
        <v>-22.562000000000001</v>
      </c>
      <c r="AM41">
        <v>304.82600000000002</v>
      </c>
      <c r="AN41">
        <v>287.92200000000003</v>
      </c>
      <c r="AO41">
        <v>25.245999999999999</v>
      </c>
      <c r="AP41">
        <v>239.935</v>
      </c>
      <c r="AQ41">
        <v>383.89600000000002</v>
      </c>
      <c r="AR41">
        <v>1628.2339999999999</v>
      </c>
      <c r="AS41">
        <v>1631.556</v>
      </c>
      <c r="AT41">
        <v>133.63200000000001</v>
      </c>
      <c r="AU41">
        <v>1295.6469999999999</v>
      </c>
      <c r="AV41">
        <v>2063.4389999999999</v>
      </c>
      <c r="AW41">
        <v>3447.7739999999999</v>
      </c>
      <c r="AX41">
        <v>3455.06</v>
      </c>
      <c r="AY41">
        <v>122.521</v>
      </c>
      <c r="AZ41">
        <v>3023.1770000000001</v>
      </c>
      <c r="BA41">
        <v>3742.982</v>
      </c>
      <c r="BB41">
        <v>4</v>
      </c>
      <c r="BC41">
        <v>202.78</v>
      </c>
      <c r="BD41">
        <v>201.107</v>
      </c>
      <c r="BE41">
        <v>6.4249999999999998</v>
      </c>
      <c r="BF41">
        <v>197.37899999999999</v>
      </c>
      <c r="BG41">
        <v>0.87791262135922332</v>
      </c>
      <c r="BH41">
        <v>243.839</v>
      </c>
      <c r="BI41">
        <v>0</v>
      </c>
      <c r="BJ41">
        <v>0.501</v>
      </c>
      <c r="BK41">
        <v>-23.834</v>
      </c>
      <c r="BL41">
        <v>354.43599999999998</v>
      </c>
      <c r="BM41">
        <v>338.48700000000002</v>
      </c>
      <c r="BN41">
        <v>25.35</v>
      </c>
      <c r="BO41">
        <v>290.13200000000001</v>
      </c>
      <c r="BP41">
        <v>386.84199999999998</v>
      </c>
      <c r="BQ41">
        <v>1404.116</v>
      </c>
      <c r="BR41">
        <v>1402.3030000000001</v>
      </c>
      <c r="BS41">
        <v>126.994</v>
      </c>
      <c r="BT41">
        <v>1112.171</v>
      </c>
      <c r="BU41">
        <v>1692.434</v>
      </c>
      <c r="BV41">
        <v>3157.0129999999999</v>
      </c>
      <c r="BW41">
        <v>3094.7370000000001</v>
      </c>
      <c r="BX41">
        <v>405.04700000000003</v>
      </c>
      <c r="BY41">
        <v>1982.566</v>
      </c>
      <c r="BZ41">
        <v>4448.6840000000002</v>
      </c>
      <c r="CA41">
        <v>4.12</v>
      </c>
      <c r="CB41">
        <v>4</v>
      </c>
      <c r="CC41">
        <v>1</v>
      </c>
      <c r="CD41">
        <v>1</v>
      </c>
      <c r="CE41">
        <v>1</v>
      </c>
      <c r="CF41">
        <v>0</v>
      </c>
    </row>
    <row r="42" spans="1:84" x14ac:dyDescent="0.35">
      <c r="A42" t="s">
        <v>312</v>
      </c>
      <c r="B42" t="str">
        <f t="shared" si="4"/>
        <v xml:space="preserve"> ch_fa_1992_09_30_085</v>
      </c>
      <c r="C42" s="1">
        <f t="shared" si="3"/>
        <v>45761</v>
      </c>
      <c r="D42" t="s">
        <v>78</v>
      </c>
      <c r="E42">
        <v>172.399</v>
      </c>
      <c r="F42">
        <v>172.74799999999999</v>
      </c>
      <c r="G42">
        <v>8.282</v>
      </c>
      <c r="H42">
        <v>102.626</v>
      </c>
      <c r="I42">
        <v>0</v>
      </c>
      <c r="J42">
        <v>199.548</v>
      </c>
      <c r="K42">
        <v>0.9839449541284403</v>
      </c>
      <c r="L42">
        <v>1.2989999999999999</v>
      </c>
      <c r="M42">
        <v>-24.087</v>
      </c>
      <c r="N42">
        <v>661.96500000000003</v>
      </c>
      <c r="O42">
        <v>689.69600000000003</v>
      </c>
      <c r="P42">
        <v>61.13</v>
      </c>
      <c r="Q42">
        <v>405.70400000000001</v>
      </c>
      <c r="R42">
        <v>811.40800000000002</v>
      </c>
      <c r="S42">
        <v>1163.654</v>
      </c>
      <c r="T42">
        <v>1176.5409999999999</v>
      </c>
      <c r="U42">
        <v>47.350999999999999</v>
      </c>
      <c r="V42">
        <v>1054.83</v>
      </c>
      <c r="W42">
        <v>1419.963</v>
      </c>
      <c r="X42">
        <v>2740.1329999999998</v>
      </c>
      <c r="Y42">
        <v>2758.7860000000001</v>
      </c>
      <c r="Z42">
        <v>181.83699999999999</v>
      </c>
      <c r="AA42">
        <v>2353.0819999999999</v>
      </c>
      <c r="AB42">
        <v>3042.7779999999998</v>
      </c>
      <c r="AC42">
        <v>2.1800000000000002</v>
      </c>
      <c r="AD42">
        <v>179.23</v>
      </c>
      <c r="AE42">
        <v>179.06</v>
      </c>
      <c r="AF42">
        <v>2.5510000000000002</v>
      </c>
      <c r="AG42">
        <v>168.41200000000001</v>
      </c>
      <c r="AH42">
        <v>0</v>
      </c>
      <c r="AI42">
        <v>191.02699999999999</v>
      </c>
      <c r="AJ42">
        <v>0.96261261261261255</v>
      </c>
      <c r="AK42">
        <v>0.443</v>
      </c>
      <c r="AL42">
        <v>-28.158000000000001</v>
      </c>
      <c r="AM42">
        <v>340.04599999999999</v>
      </c>
      <c r="AN42">
        <v>340.541</v>
      </c>
      <c r="AO42">
        <v>4.59</v>
      </c>
      <c r="AP42">
        <v>297.97300000000001</v>
      </c>
      <c r="AQ42">
        <v>340.541</v>
      </c>
      <c r="AR42">
        <v>2435.473</v>
      </c>
      <c r="AS42">
        <v>2468.9189999999999</v>
      </c>
      <c r="AT42">
        <v>135.59200000000001</v>
      </c>
      <c r="AU42">
        <v>1830.405</v>
      </c>
      <c r="AV42">
        <v>2596.6219999999998</v>
      </c>
      <c r="AW42">
        <v>2807.1709999999998</v>
      </c>
      <c r="AX42">
        <v>2766.8919999999998</v>
      </c>
      <c r="AY42">
        <v>91.677000000000007</v>
      </c>
      <c r="AZ42">
        <v>2681.7570000000001</v>
      </c>
      <c r="BA42">
        <v>3150</v>
      </c>
      <c r="BB42">
        <v>2.2200000000000002</v>
      </c>
      <c r="BC42">
        <v>176.80600000000001</v>
      </c>
      <c r="BD42">
        <v>177.31200000000001</v>
      </c>
      <c r="BE42">
        <v>2.823</v>
      </c>
      <c r="BF42">
        <v>168.68899999999999</v>
      </c>
      <c r="BG42">
        <v>1.1214953271028037E-2</v>
      </c>
      <c r="BH42">
        <v>186.30099999999999</v>
      </c>
      <c r="BI42">
        <v>0.97289719626168214</v>
      </c>
      <c r="BJ42">
        <v>0.374</v>
      </c>
      <c r="BK42">
        <v>-28.233000000000001</v>
      </c>
      <c r="BL42">
        <v>343.69099999999997</v>
      </c>
      <c r="BM42">
        <v>337.93099999999998</v>
      </c>
      <c r="BN42">
        <v>14.579000000000001</v>
      </c>
      <c r="BO42">
        <v>337.93099999999998</v>
      </c>
      <c r="BP42">
        <v>380.17200000000003</v>
      </c>
      <c r="BQ42">
        <v>1045.6189999999999</v>
      </c>
      <c r="BR42">
        <v>1013.793</v>
      </c>
      <c r="BS42">
        <v>84.418000000000006</v>
      </c>
      <c r="BT42">
        <v>1013.793</v>
      </c>
      <c r="BU42">
        <v>1436.2070000000001</v>
      </c>
      <c r="BV42">
        <v>3061.3130000000001</v>
      </c>
      <c r="BW42">
        <v>3083.6210000000001</v>
      </c>
      <c r="BX42">
        <v>140.834</v>
      </c>
      <c r="BY42">
        <v>2745.69</v>
      </c>
      <c r="BZ42">
        <v>3379.31</v>
      </c>
      <c r="CA42">
        <v>2.14</v>
      </c>
      <c r="CB42">
        <v>7</v>
      </c>
      <c r="CC42">
        <v>3</v>
      </c>
      <c r="CD42">
        <v>1</v>
      </c>
      <c r="CE42">
        <v>2</v>
      </c>
      <c r="CF42">
        <v>2</v>
      </c>
    </row>
    <row r="43" spans="1:84" x14ac:dyDescent="0.35">
      <c r="A43" t="s">
        <v>313</v>
      </c>
      <c r="B43" t="str">
        <f t="shared" si="4"/>
        <v xml:space="preserve"> ch_mo_2005_07_21_173</v>
      </c>
      <c r="C43" s="1">
        <f t="shared" si="3"/>
        <v>45761</v>
      </c>
      <c r="D43" t="s">
        <v>78</v>
      </c>
      <c r="E43">
        <v>184.36600000000001</v>
      </c>
      <c r="F43">
        <v>184.40899999999999</v>
      </c>
      <c r="G43">
        <v>1.7470000000000001</v>
      </c>
      <c r="H43">
        <v>177.31200000000001</v>
      </c>
      <c r="I43">
        <v>2.0238095238095239E-2</v>
      </c>
      <c r="J43">
        <v>188.46199999999999</v>
      </c>
      <c r="K43">
        <v>0</v>
      </c>
      <c r="L43">
        <v>0.35599999999999998</v>
      </c>
      <c r="M43">
        <v>-20.699000000000002</v>
      </c>
      <c r="N43">
        <v>770.74099999999999</v>
      </c>
      <c r="O43">
        <v>751.202</v>
      </c>
      <c r="P43">
        <v>43.619</v>
      </c>
      <c r="Q43">
        <v>707.01400000000001</v>
      </c>
      <c r="R43">
        <v>927.95600000000002</v>
      </c>
      <c r="S43">
        <v>1107.415</v>
      </c>
      <c r="T43">
        <v>1104.7090000000001</v>
      </c>
      <c r="U43">
        <v>40.468000000000004</v>
      </c>
      <c r="V43">
        <v>1060.521</v>
      </c>
      <c r="W43">
        <v>1369.84</v>
      </c>
      <c r="X43">
        <v>2660.02</v>
      </c>
      <c r="Y43">
        <v>2651.3029999999999</v>
      </c>
      <c r="Z43">
        <v>118.235</v>
      </c>
      <c r="AA43">
        <v>2430.3609999999999</v>
      </c>
      <c r="AB43">
        <v>3137.375</v>
      </c>
      <c r="AC43">
        <v>3.36</v>
      </c>
      <c r="AD43">
        <v>194.316</v>
      </c>
      <c r="AE43">
        <v>194.15100000000001</v>
      </c>
      <c r="AF43">
        <v>2.2709999999999999</v>
      </c>
      <c r="AG43">
        <v>186.52600000000001</v>
      </c>
      <c r="AH43">
        <v>2.9720279720279724E-2</v>
      </c>
      <c r="AI43">
        <v>200.846</v>
      </c>
      <c r="AJ43">
        <v>6.9930069930069939E-3</v>
      </c>
      <c r="AK43">
        <v>0.32600000000000001</v>
      </c>
      <c r="AL43">
        <v>-27.088999999999999</v>
      </c>
      <c r="AM43">
        <v>335.50400000000002</v>
      </c>
      <c r="AN43">
        <v>326.32100000000003</v>
      </c>
      <c r="AO43">
        <v>18.611000000000001</v>
      </c>
      <c r="AP43">
        <v>326.32100000000003</v>
      </c>
      <c r="AQ43">
        <v>372.93900000000002</v>
      </c>
      <c r="AR43">
        <v>2230.46</v>
      </c>
      <c r="AS43">
        <v>2237.6320000000001</v>
      </c>
      <c r="AT43">
        <v>133.011</v>
      </c>
      <c r="AU43">
        <v>1818.076</v>
      </c>
      <c r="AV43">
        <v>2330.8670000000002</v>
      </c>
      <c r="AW43">
        <v>3892.9009999999998</v>
      </c>
      <c r="AX43">
        <v>3869.239</v>
      </c>
      <c r="AY43">
        <v>86.304000000000002</v>
      </c>
      <c r="AZ43">
        <v>3682.77</v>
      </c>
      <c r="BA43">
        <v>4102.326</v>
      </c>
      <c r="BB43">
        <v>2.86</v>
      </c>
      <c r="BC43">
        <v>196.41499999999999</v>
      </c>
      <c r="BD43">
        <v>196.249</v>
      </c>
      <c r="BE43">
        <v>1.958</v>
      </c>
      <c r="BF43">
        <v>191.739</v>
      </c>
      <c r="BG43">
        <v>4.507042253521127E-2</v>
      </c>
      <c r="BH43">
        <v>210.429</v>
      </c>
      <c r="BI43">
        <v>0</v>
      </c>
      <c r="BJ43">
        <v>0.33600000000000002</v>
      </c>
      <c r="BK43">
        <v>-28.245999999999999</v>
      </c>
      <c r="BL43">
        <v>378.44</v>
      </c>
      <c r="BM43">
        <v>377.73</v>
      </c>
      <c r="BN43">
        <v>5768</v>
      </c>
      <c r="BO43">
        <v>377.73</v>
      </c>
      <c r="BP43">
        <v>424.94600000000003</v>
      </c>
      <c r="BQ43">
        <v>998.05399999999997</v>
      </c>
      <c r="BR43">
        <v>991.54200000000003</v>
      </c>
      <c r="BS43">
        <v>20.827999999999999</v>
      </c>
      <c r="BT43">
        <v>991.54200000000003</v>
      </c>
      <c r="BU43">
        <v>1085.9739999999999</v>
      </c>
      <c r="BV43">
        <v>2958.2950000000001</v>
      </c>
      <c r="BW43">
        <v>2927.4090000000001</v>
      </c>
      <c r="BX43">
        <v>166.93899999999999</v>
      </c>
      <c r="BY43">
        <v>2644.1109999999999</v>
      </c>
      <c r="BZ43">
        <v>3446.788</v>
      </c>
      <c r="CA43">
        <v>2.84</v>
      </c>
      <c r="CB43">
        <v>8</v>
      </c>
      <c r="CC43">
        <v>4</v>
      </c>
      <c r="CD43">
        <v>0</v>
      </c>
      <c r="CE43">
        <v>2</v>
      </c>
      <c r="CF43">
        <v>4</v>
      </c>
    </row>
    <row r="44" spans="1:84" x14ac:dyDescent="0.35">
      <c r="A44" t="s">
        <v>314</v>
      </c>
      <c r="B44" t="str">
        <f t="shared" si="4"/>
        <v xml:space="preserve"> ch_pr_2005_04_08_406</v>
      </c>
      <c r="C44" s="1">
        <f t="shared" si="3"/>
        <v>45761</v>
      </c>
      <c r="D44" t="s">
        <v>78</v>
      </c>
      <c r="E44">
        <v>204.048</v>
      </c>
      <c r="F44">
        <v>203.62799999999999</v>
      </c>
      <c r="G44">
        <v>4.5060000000000002</v>
      </c>
      <c r="H44">
        <v>199.935</v>
      </c>
      <c r="I44">
        <v>0.16797385620915034</v>
      </c>
      <c r="J44">
        <v>253.44800000000001</v>
      </c>
      <c r="K44">
        <v>0</v>
      </c>
      <c r="L44">
        <v>0.38300000000000001</v>
      </c>
      <c r="M44">
        <v>-28.384</v>
      </c>
      <c r="N44">
        <v>708.71900000000005</v>
      </c>
      <c r="O44">
        <v>734.18399999999997</v>
      </c>
      <c r="P44">
        <v>48.935000000000002</v>
      </c>
      <c r="Q44">
        <v>391.565</v>
      </c>
      <c r="R44">
        <v>783.13</v>
      </c>
      <c r="S44">
        <v>1131.5070000000001</v>
      </c>
      <c r="T44">
        <v>1125.749</v>
      </c>
      <c r="U44">
        <v>55.265999999999998</v>
      </c>
      <c r="V44">
        <v>1027.8579999999999</v>
      </c>
      <c r="W44">
        <v>1321.5319999999999</v>
      </c>
      <c r="X44">
        <v>2842.4839999999999</v>
      </c>
      <c r="Y44">
        <v>2838.846</v>
      </c>
      <c r="Z44">
        <v>101.82299999999999</v>
      </c>
      <c r="AA44">
        <v>2692.009</v>
      </c>
      <c r="AB44">
        <v>3524.0839999999998</v>
      </c>
      <c r="AC44">
        <v>3.06</v>
      </c>
      <c r="AD44">
        <v>211.655</v>
      </c>
      <c r="AE44">
        <v>214.226</v>
      </c>
      <c r="AF44">
        <v>31.559000000000001</v>
      </c>
      <c r="AG44">
        <v>103.8</v>
      </c>
      <c r="AH44">
        <v>3.2850241545893721E-2</v>
      </c>
      <c r="AI44">
        <v>331.57900000000001</v>
      </c>
      <c r="AJ44">
        <v>4.5893719806763284E-3</v>
      </c>
      <c r="AK44">
        <v>3.2730000000000001</v>
      </c>
      <c r="AL44">
        <v>-24.071000000000002</v>
      </c>
      <c r="AM44">
        <v>383.46600000000001</v>
      </c>
      <c r="AN44">
        <v>362.32400000000001</v>
      </c>
      <c r="AO44">
        <v>29.199000000000002</v>
      </c>
      <c r="AP44">
        <v>310.56299999999999</v>
      </c>
      <c r="AQ44">
        <v>414.08499999999998</v>
      </c>
      <c r="AR44">
        <v>2522.6590000000001</v>
      </c>
      <c r="AS44">
        <v>2536.268</v>
      </c>
      <c r="AT44">
        <v>83.466999999999999</v>
      </c>
      <c r="AU44">
        <v>1449.296</v>
      </c>
      <c r="AV44">
        <v>2588.0279999999998</v>
      </c>
      <c r="AW44">
        <v>3061.8919999999998</v>
      </c>
      <c r="AX44">
        <v>3053.873</v>
      </c>
      <c r="AY44">
        <v>132.054</v>
      </c>
      <c r="AZ44">
        <v>2795.07</v>
      </c>
      <c r="BA44">
        <v>3364.4369999999999</v>
      </c>
      <c r="BB44">
        <v>4.1399999999999997</v>
      </c>
      <c r="BC44">
        <v>207.40199999999999</v>
      </c>
      <c r="BD44">
        <v>216.93600000000001</v>
      </c>
      <c r="BE44">
        <v>32.194000000000003</v>
      </c>
      <c r="BF44">
        <v>103.869</v>
      </c>
      <c r="BG44">
        <v>5.9523809523809529E-3</v>
      </c>
      <c r="BH44">
        <v>267.27300000000002</v>
      </c>
      <c r="BI44">
        <v>0</v>
      </c>
      <c r="BJ44">
        <v>2.214</v>
      </c>
      <c r="BK44">
        <v>-24.567</v>
      </c>
      <c r="BL44">
        <v>436.18</v>
      </c>
      <c r="BM44">
        <v>442.47500000000002</v>
      </c>
      <c r="BN44">
        <v>18.189</v>
      </c>
      <c r="BO44">
        <v>344.14699999999999</v>
      </c>
      <c r="BP44">
        <v>442.47500000000002</v>
      </c>
      <c r="BQ44">
        <v>1027.4480000000001</v>
      </c>
      <c r="BR44">
        <v>1032.441</v>
      </c>
      <c r="BS44">
        <v>43.991</v>
      </c>
      <c r="BT44">
        <v>983.27800000000002</v>
      </c>
      <c r="BU44">
        <v>1474.9159999999999</v>
      </c>
      <c r="BV44">
        <v>3631.8319999999999</v>
      </c>
      <c r="BW44">
        <v>3638.127</v>
      </c>
      <c r="BX44">
        <v>182.10400000000001</v>
      </c>
      <c r="BY44">
        <v>2949.8330000000001</v>
      </c>
      <c r="BZ44">
        <v>4129.7659999999996</v>
      </c>
      <c r="CA44">
        <v>3.36</v>
      </c>
      <c r="CB44">
        <v>6</v>
      </c>
      <c r="CC44">
        <v>6</v>
      </c>
      <c r="CD44">
        <v>0</v>
      </c>
      <c r="CE44">
        <v>4</v>
      </c>
      <c r="CF44">
        <v>3</v>
      </c>
    </row>
    <row r="45" spans="1:84" x14ac:dyDescent="0.35">
      <c r="A45" t="s">
        <v>315</v>
      </c>
      <c r="B45" t="str">
        <f t="shared" si="4"/>
        <v xml:space="preserve"> ch_ta_2005_12_03_835</v>
      </c>
      <c r="C45" s="1">
        <f t="shared" si="3"/>
        <v>45761</v>
      </c>
      <c r="D45" t="s">
        <v>78</v>
      </c>
      <c r="E45">
        <v>194.649</v>
      </c>
      <c r="F45">
        <v>196.75</v>
      </c>
      <c r="G45">
        <v>18.344999999999999</v>
      </c>
      <c r="H45">
        <v>91.738</v>
      </c>
      <c r="I45">
        <v>0</v>
      </c>
      <c r="J45">
        <v>255.33500000000001</v>
      </c>
      <c r="K45">
        <v>9.5454545454545445E-3</v>
      </c>
      <c r="L45">
        <v>3.956</v>
      </c>
      <c r="M45">
        <v>-17.672000000000001</v>
      </c>
      <c r="N45">
        <v>740.78399999999999</v>
      </c>
      <c r="O45">
        <v>753.846</v>
      </c>
      <c r="P45">
        <v>36.567999999999998</v>
      </c>
      <c r="Q45">
        <v>471.154</v>
      </c>
      <c r="R45">
        <v>800.96199999999999</v>
      </c>
      <c r="S45">
        <v>1157.1130000000001</v>
      </c>
      <c r="T45">
        <v>1177.885</v>
      </c>
      <c r="U45">
        <v>56.206000000000003</v>
      </c>
      <c r="V45">
        <v>1036.538</v>
      </c>
      <c r="W45">
        <v>1601.923</v>
      </c>
      <c r="X45">
        <v>3165.9690000000001</v>
      </c>
      <c r="Y45">
        <v>3062.5</v>
      </c>
      <c r="Z45">
        <v>297.69200000000001</v>
      </c>
      <c r="AA45">
        <v>2685.5770000000002</v>
      </c>
      <c r="AB45">
        <v>3957.692</v>
      </c>
      <c r="AC45">
        <v>2.2000000000000002</v>
      </c>
      <c r="AD45">
        <v>193.881</v>
      </c>
      <c r="AE45">
        <v>199.03299999999999</v>
      </c>
      <c r="AF45">
        <v>31.326000000000001</v>
      </c>
      <c r="AG45">
        <v>100.619</v>
      </c>
      <c r="AH45">
        <v>0.76236559139784943</v>
      </c>
      <c r="AI45">
        <v>302.05500000000001</v>
      </c>
      <c r="AJ45">
        <v>0</v>
      </c>
      <c r="AK45">
        <v>4.6150000000000002</v>
      </c>
      <c r="AL45">
        <v>-21.609000000000002</v>
      </c>
      <c r="AM45">
        <v>336.19900000000001</v>
      </c>
      <c r="AN45">
        <v>324.60599999999999</v>
      </c>
      <c r="AO45">
        <v>48.792999999999999</v>
      </c>
      <c r="AP45">
        <v>324.60599999999999</v>
      </c>
      <c r="AQ45">
        <v>602.83900000000006</v>
      </c>
      <c r="AR45">
        <v>2003.769</v>
      </c>
      <c r="AS45">
        <v>1994.0060000000001</v>
      </c>
      <c r="AT45">
        <v>94.757000000000005</v>
      </c>
      <c r="AU45">
        <v>1854.89</v>
      </c>
      <c r="AV45">
        <v>2179.4949999999999</v>
      </c>
      <c r="AW45">
        <v>3663.9520000000002</v>
      </c>
      <c r="AX45">
        <v>3663.4070000000002</v>
      </c>
      <c r="AY45">
        <v>143.375</v>
      </c>
      <c r="AZ45">
        <v>3338.8009999999999</v>
      </c>
      <c r="BA45">
        <v>4173.5020000000004</v>
      </c>
      <c r="BB45">
        <v>1.86</v>
      </c>
      <c r="BC45">
        <v>198.375</v>
      </c>
      <c r="BD45">
        <v>197.505</v>
      </c>
      <c r="BE45">
        <v>4.3090000000000002</v>
      </c>
      <c r="BF45">
        <v>185.405</v>
      </c>
      <c r="BG45">
        <v>0</v>
      </c>
      <c r="BH45">
        <v>214.82300000000001</v>
      </c>
      <c r="BI45">
        <v>4.5698924731182797E-2</v>
      </c>
      <c r="BJ45">
        <v>0.61099999999999999</v>
      </c>
      <c r="BK45">
        <v>-26.056000000000001</v>
      </c>
      <c r="BL45">
        <v>379.21800000000002</v>
      </c>
      <c r="BM45">
        <v>379.76299999999998</v>
      </c>
      <c r="BN45">
        <v>11.433</v>
      </c>
      <c r="BO45">
        <v>332.29300000000001</v>
      </c>
      <c r="BP45">
        <v>427.23399999999998</v>
      </c>
      <c r="BQ45">
        <v>1076.5609999999999</v>
      </c>
      <c r="BR45">
        <v>1091.819</v>
      </c>
      <c r="BS45">
        <v>31.498000000000001</v>
      </c>
      <c r="BT45">
        <v>1044.3489999999999</v>
      </c>
      <c r="BU45">
        <v>1186.76</v>
      </c>
      <c r="BV45">
        <v>2514.84</v>
      </c>
      <c r="BW45">
        <v>2326.0500000000002</v>
      </c>
      <c r="BX45">
        <v>423.66</v>
      </c>
      <c r="BY45">
        <v>2088.6979999999999</v>
      </c>
      <c r="BZ45">
        <v>3797.6320000000001</v>
      </c>
      <c r="CA45">
        <v>1.86</v>
      </c>
      <c r="CB45">
        <v>7</v>
      </c>
      <c r="CC45">
        <v>3</v>
      </c>
      <c r="CD45">
        <v>0</v>
      </c>
      <c r="CE45">
        <v>4</v>
      </c>
      <c r="CF45">
        <v>0</v>
      </c>
    </row>
    <row r="46" spans="1:84" x14ac:dyDescent="0.35">
      <c r="A46" t="s">
        <v>316</v>
      </c>
      <c r="B46" t="str">
        <f t="shared" si="4"/>
        <v xml:space="preserve"> cl_bo_1987_10_16_628</v>
      </c>
      <c r="C46" s="1">
        <f t="shared" si="3"/>
        <v>45761</v>
      </c>
      <c r="D46" t="s">
        <v>78</v>
      </c>
      <c r="E46">
        <v>159.398</v>
      </c>
      <c r="F46">
        <v>158.227</v>
      </c>
      <c r="G46">
        <v>3.5910000000000002</v>
      </c>
      <c r="H46">
        <v>153.04900000000001</v>
      </c>
      <c r="I46">
        <v>0</v>
      </c>
      <c r="J46">
        <v>177.108</v>
      </c>
      <c r="K46">
        <v>0.95675675675675675</v>
      </c>
      <c r="L46">
        <v>0.78700000000000003</v>
      </c>
      <c r="M46">
        <v>-18.763999999999999</v>
      </c>
      <c r="N46">
        <v>809.44100000000003</v>
      </c>
      <c r="O46">
        <v>800.43200000000002</v>
      </c>
      <c r="P46">
        <v>43.374000000000002</v>
      </c>
      <c r="Q46">
        <v>609.85299999999995</v>
      </c>
      <c r="R46">
        <v>876.66399999999999</v>
      </c>
      <c r="S46">
        <v>1096.3489999999999</v>
      </c>
      <c r="T46">
        <v>1105.3589999999999</v>
      </c>
      <c r="U46">
        <v>40.817999999999998</v>
      </c>
      <c r="V46">
        <v>1029.127</v>
      </c>
      <c r="W46">
        <v>1257.8219999999999</v>
      </c>
      <c r="X46">
        <v>2401.989</v>
      </c>
      <c r="Y46">
        <v>2401.2959999999998</v>
      </c>
      <c r="Z46">
        <v>89.084999999999994</v>
      </c>
      <c r="AA46">
        <v>2134.4859999999999</v>
      </c>
      <c r="AB46">
        <v>2553.7600000000002</v>
      </c>
      <c r="AC46">
        <v>1.48</v>
      </c>
      <c r="AD46">
        <v>171.02600000000001</v>
      </c>
      <c r="AE46">
        <v>152.67099999999999</v>
      </c>
      <c r="AF46">
        <v>46.12</v>
      </c>
      <c r="AG46">
        <v>148.05799999999999</v>
      </c>
      <c r="AH46">
        <v>0.33461538461538459</v>
      </c>
      <c r="AI46">
        <v>329.10399999999998</v>
      </c>
      <c r="AJ46">
        <v>0</v>
      </c>
      <c r="AK46">
        <v>3.51</v>
      </c>
      <c r="AL46">
        <v>-24.577000000000002</v>
      </c>
      <c r="AM46">
        <v>315.75299999999999</v>
      </c>
      <c r="AN46">
        <v>313.08300000000003</v>
      </c>
      <c r="AO46">
        <v>13.214</v>
      </c>
      <c r="AP46">
        <v>313.08300000000003</v>
      </c>
      <c r="AQ46">
        <v>402.53500000000003</v>
      </c>
      <c r="AR46">
        <v>1721.9570000000001</v>
      </c>
      <c r="AS46">
        <v>1721.9570000000001</v>
      </c>
      <c r="AT46">
        <v>192.13800000000001</v>
      </c>
      <c r="AU46">
        <v>1475.963</v>
      </c>
      <c r="AV46">
        <v>2191.5819999999999</v>
      </c>
      <c r="AW46">
        <v>3206.471</v>
      </c>
      <c r="AX46">
        <v>3220.2840000000001</v>
      </c>
      <c r="AY46">
        <v>128.67099999999999</v>
      </c>
      <c r="AZ46">
        <v>2862.4749999999999</v>
      </c>
      <c r="BA46">
        <v>3578.0929999999998</v>
      </c>
      <c r="BB46">
        <v>1.56</v>
      </c>
      <c r="BC46">
        <v>154.119</v>
      </c>
      <c r="BD46">
        <v>151.994</v>
      </c>
      <c r="BE46">
        <v>5.1029999999999998</v>
      </c>
      <c r="BF46">
        <v>150.36500000000001</v>
      </c>
      <c r="BG46">
        <v>0.30329670329670333</v>
      </c>
      <c r="BH46">
        <v>177.82300000000001</v>
      </c>
      <c r="BI46">
        <v>0.99670329670329672</v>
      </c>
      <c r="BJ46">
        <v>0.61199999999999999</v>
      </c>
      <c r="BK46">
        <v>-24.239000000000001</v>
      </c>
      <c r="BL46">
        <v>362.92399999999998</v>
      </c>
      <c r="BM46">
        <v>362.36599999999999</v>
      </c>
      <c r="BN46">
        <v>4495</v>
      </c>
      <c r="BO46">
        <v>362.36599999999999</v>
      </c>
      <c r="BP46">
        <v>398.60300000000001</v>
      </c>
      <c r="BQ46">
        <v>1013.355</v>
      </c>
      <c r="BR46">
        <v>1014.626</v>
      </c>
      <c r="BS46">
        <v>46.427999999999997</v>
      </c>
      <c r="BT46">
        <v>978.38900000000001</v>
      </c>
      <c r="BU46">
        <v>1304.519</v>
      </c>
      <c r="BV46">
        <v>3298.0920000000001</v>
      </c>
      <c r="BW46">
        <v>3333.7719999999999</v>
      </c>
      <c r="BX46">
        <v>173.96100000000001</v>
      </c>
      <c r="BY46">
        <v>2717.7489999999998</v>
      </c>
      <c r="BZ46">
        <v>3623.665</v>
      </c>
      <c r="CA46">
        <v>1.82</v>
      </c>
    </row>
    <row r="47" spans="1:84" x14ac:dyDescent="0.35">
      <c r="A47" t="s">
        <v>317</v>
      </c>
      <c r="B47" t="str">
        <f t="shared" si="4"/>
        <v xml:space="preserve"> cl_de_1999_11_04_085</v>
      </c>
      <c r="C47" s="1">
        <f t="shared" si="3"/>
        <v>45761</v>
      </c>
      <c r="D47" t="s">
        <v>78</v>
      </c>
      <c r="E47">
        <v>190.08500000000001</v>
      </c>
      <c r="F47">
        <v>186.07599999999999</v>
      </c>
      <c r="G47">
        <v>19.38</v>
      </c>
      <c r="H47">
        <v>178.233</v>
      </c>
      <c r="I47">
        <v>0.98941605839416047</v>
      </c>
      <c r="J47">
        <v>339.97800000000001</v>
      </c>
      <c r="K47">
        <v>0</v>
      </c>
      <c r="L47">
        <v>0.69899999999999995</v>
      </c>
      <c r="M47">
        <v>-29.37</v>
      </c>
      <c r="N47">
        <v>595.34799999999996</v>
      </c>
      <c r="O47">
        <v>589.81500000000005</v>
      </c>
      <c r="P47">
        <v>62.722999999999999</v>
      </c>
      <c r="Q47">
        <v>408.33300000000003</v>
      </c>
      <c r="R47">
        <v>998.14800000000002</v>
      </c>
      <c r="S47">
        <v>1072.2139999999999</v>
      </c>
      <c r="T47">
        <v>1043.519</v>
      </c>
      <c r="U47">
        <v>94.495999999999995</v>
      </c>
      <c r="V47">
        <v>998.14800000000002</v>
      </c>
      <c r="W47">
        <v>1633.3330000000001</v>
      </c>
      <c r="X47">
        <v>3913.6559999999999</v>
      </c>
      <c r="Y47">
        <v>3901.8519999999999</v>
      </c>
      <c r="Z47">
        <v>375.83600000000001</v>
      </c>
      <c r="AA47">
        <v>2767.5929999999998</v>
      </c>
      <c r="AB47">
        <v>4809.259</v>
      </c>
      <c r="AC47">
        <v>2.74</v>
      </c>
      <c r="AD47">
        <v>187.06299999999999</v>
      </c>
      <c r="AE47">
        <v>186.07599999999999</v>
      </c>
      <c r="AF47">
        <v>3.92</v>
      </c>
      <c r="AG47">
        <v>181.90899999999999</v>
      </c>
      <c r="AH47">
        <v>0.89554794520547953</v>
      </c>
      <c r="AI47">
        <v>208.3</v>
      </c>
      <c r="AJ47">
        <v>7.8767123287671239E-3</v>
      </c>
      <c r="AK47">
        <v>0.31900000000000001</v>
      </c>
      <c r="AL47">
        <v>-29.667999999999999</v>
      </c>
      <c r="AM47">
        <v>333.38799999999998</v>
      </c>
      <c r="AN47">
        <v>312.76600000000002</v>
      </c>
      <c r="AO47">
        <v>50.338000000000001</v>
      </c>
      <c r="AP47">
        <v>312.76600000000002</v>
      </c>
      <c r="AQ47">
        <v>491.48899999999998</v>
      </c>
      <c r="AR47">
        <v>2204.2550000000001</v>
      </c>
      <c r="AS47">
        <v>2278.723</v>
      </c>
      <c r="AT47">
        <v>271.88799999999998</v>
      </c>
      <c r="AU47">
        <v>1519.1489999999999</v>
      </c>
      <c r="AV47">
        <v>2502.1280000000002</v>
      </c>
      <c r="AW47">
        <v>3593.518</v>
      </c>
      <c r="AX47">
        <v>3574.4679999999998</v>
      </c>
      <c r="AY47">
        <v>124.233</v>
      </c>
      <c r="AZ47">
        <v>3127.66</v>
      </c>
      <c r="BA47">
        <v>3887.2339999999999</v>
      </c>
      <c r="BB47">
        <v>2.92</v>
      </c>
      <c r="BC47">
        <v>190.21</v>
      </c>
      <c r="BD47">
        <v>187.66</v>
      </c>
      <c r="BE47">
        <v>10.188000000000001</v>
      </c>
      <c r="BF47">
        <v>182.77099999999999</v>
      </c>
      <c r="BG47">
        <v>0.96527777777777779</v>
      </c>
      <c r="BH47">
        <v>277.358</v>
      </c>
      <c r="BI47">
        <v>0</v>
      </c>
      <c r="BJ47">
        <v>0.49099999999999999</v>
      </c>
      <c r="BK47">
        <v>-30.731000000000002</v>
      </c>
      <c r="BL47">
        <v>343.97500000000002</v>
      </c>
      <c r="BM47">
        <v>317.26600000000002</v>
      </c>
      <c r="BN47">
        <v>32.08</v>
      </c>
      <c r="BO47">
        <v>317.26600000000002</v>
      </c>
      <c r="BP47">
        <v>453.23700000000002</v>
      </c>
      <c r="BQ47">
        <v>1087.307</v>
      </c>
      <c r="BR47">
        <v>1087.77</v>
      </c>
      <c r="BS47">
        <v>106.64100000000001</v>
      </c>
      <c r="BT47">
        <v>997.12199999999996</v>
      </c>
      <c r="BU47">
        <v>1994.2449999999999</v>
      </c>
      <c r="BV47">
        <v>3782.2489999999998</v>
      </c>
      <c r="BW47">
        <v>3807.194</v>
      </c>
      <c r="BX47">
        <v>236.255</v>
      </c>
      <c r="BY47">
        <v>3036.6909999999998</v>
      </c>
      <c r="BZ47">
        <v>4305.7550000000001</v>
      </c>
      <c r="CA47">
        <v>2.88</v>
      </c>
      <c r="CB47">
        <v>6</v>
      </c>
      <c r="CC47">
        <v>0</v>
      </c>
      <c r="CD47">
        <v>0</v>
      </c>
      <c r="CE47">
        <v>1</v>
      </c>
      <c r="CF47">
        <v>0</v>
      </c>
    </row>
    <row r="48" spans="1:84" x14ac:dyDescent="0.35">
      <c r="A48" t="s">
        <v>409</v>
      </c>
      <c r="B48" t="str">
        <f t="shared" si="4"/>
        <v xml:space="preserve"> cl_me_2004_10_20_681</v>
      </c>
      <c r="C48" s="1">
        <f t="shared" si="3"/>
        <v>45798</v>
      </c>
      <c r="D48" t="s">
        <v>78</v>
      </c>
      <c r="E48">
        <v>183.84200000000001</v>
      </c>
      <c r="F48">
        <v>183.31399999999999</v>
      </c>
      <c r="G48">
        <v>3.8</v>
      </c>
      <c r="H48">
        <v>177.61799999999999</v>
      </c>
      <c r="I48">
        <v>0.92870370370370359</v>
      </c>
      <c r="J48">
        <v>201.63300000000001</v>
      </c>
      <c r="K48">
        <v>0.97222222222222221</v>
      </c>
      <c r="L48">
        <v>0.97599999999999998</v>
      </c>
      <c r="M48">
        <v>-23.138000000000002</v>
      </c>
      <c r="N48">
        <v>705.45500000000004</v>
      </c>
      <c r="O48">
        <v>700.69500000000005</v>
      </c>
      <c r="P48">
        <v>63.448</v>
      </c>
      <c r="Q48">
        <v>437.93400000000003</v>
      </c>
      <c r="R48">
        <v>1007.249</v>
      </c>
      <c r="S48">
        <v>1342.364</v>
      </c>
      <c r="T48">
        <v>1357.597</v>
      </c>
      <c r="U48">
        <v>43.518000000000001</v>
      </c>
      <c r="V48">
        <v>1270.01</v>
      </c>
      <c r="W48">
        <v>1488.9770000000001</v>
      </c>
      <c r="X48">
        <v>3015.0839999999998</v>
      </c>
      <c r="Y48">
        <v>2977.9540000000002</v>
      </c>
      <c r="Z48">
        <v>116.405</v>
      </c>
      <c r="AA48">
        <v>2846.5740000000001</v>
      </c>
      <c r="AB48">
        <v>3591.0630000000001</v>
      </c>
      <c r="AC48">
        <v>1.08</v>
      </c>
      <c r="AD48">
        <v>186.49199999999999</v>
      </c>
      <c r="AE48">
        <v>184.18899999999999</v>
      </c>
      <c r="AF48">
        <v>9.8889999999999993</v>
      </c>
      <c r="AG48">
        <v>180</v>
      </c>
      <c r="AH48">
        <v>0.13600000000000001</v>
      </c>
      <c r="AI48">
        <v>229.85900000000001</v>
      </c>
      <c r="AJ48">
        <v>0.998</v>
      </c>
      <c r="AK48">
        <v>1.109</v>
      </c>
      <c r="AL48">
        <v>-28.437999999999999</v>
      </c>
      <c r="AM48">
        <v>351.745</v>
      </c>
      <c r="AN48">
        <v>351.745</v>
      </c>
      <c r="AO48">
        <v>0</v>
      </c>
      <c r="AP48">
        <v>351.745</v>
      </c>
      <c r="AQ48">
        <v>351.745</v>
      </c>
      <c r="AR48">
        <v>2452.7919999999999</v>
      </c>
      <c r="AS48">
        <v>2484.1970000000001</v>
      </c>
      <c r="AT48">
        <v>94.739000000000004</v>
      </c>
      <c r="AU48">
        <v>2242.373</v>
      </c>
      <c r="AV48">
        <v>2594.1179999999999</v>
      </c>
      <c r="AW48">
        <v>3279.2020000000002</v>
      </c>
      <c r="AX48">
        <v>3253.6390000000001</v>
      </c>
      <c r="AY48">
        <v>152.983</v>
      </c>
      <c r="AZ48">
        <v>2901.8939999999998</v>
      </c>
      <c r="BA48">
        <v>3737.288</v>
      </c>
      <c r="BB48">
        <v>1</v>
      </c>
      <c r="BC48">
        <v>185.31200000000001</v>
      </c>
      <c r="BD48">
        <v>184.51900000000001</v>
      </c>
      <c r="BE48">
        <v>3.8029999999999999</v>
      </c>
      <c r="BF48">
        <v>179.477</v>
      </c>
      <c r="BG48">
        <v>0.96097560975609764</v>
      </c>
      <c r="BH48">
        <v>202.29400000000001</v>
      </c>
      <c r="BI48">
        <v>0</v>
      </c>
      <c r="BJ48">
        <v>0.84399999999999997</v>
      </c>
      <c r="BK48">
        <v>-28.23</v>
      </c>
      <c r="BL48">
        <v>372.15699999999998</v>
      </c>
      <c r="BM48">
        <v>355.64499999999998</v>
      </c>
      <c r="BN48">
        <v>82.879000000000005</v>
      </c>
      <c r="BO48">
        <v>355.64499999999998</v>
      </c>
      <c r="BP48">
        <v>844.65700000000004</v>
      </c>
      <c r="BQ48">
        <v>1066.9349999999999</v>
      </c>
      <c r="BR48">
        <v>1066.9349999999999</v>
      </c>
      <c r="BS48">
        <v>81.165000000000006</v>
      </c>
      <c r="BT48">
        <v>978.024</v>
      </c>
      <c r="BU48">
        <v>1155.847</v>
      </c>
      <c r="BV48">
        <v>4257.5810000000001</v>
      </c>
      <c r="BW48">
        <v>4312.1980000000003</v>
      </c>
      <c r="BX48">
        <v>204.03100000000001</v>
      </c>
      <c r="BY48">
        <v>3556.4520000000002</v>
      </c>
      <c r="BZ48">
        <v>4534.4759999999997</v>
      </c>
      <c r="CA48">
        <v>0.82</v>
      </c>
      <c r="CB48">
        <v>7</v>
      </c>
      <c r="CC48">
        <v>4</v>
      </c>
      <c r="CD48">
        <v>0</v>
      </c>
      <c r="CE48">
        <v>6</v>
      </c>
      <c r="CF48">
        <v>6</v>
      </c>
    </row>
    <row r="49" spans="1:84" x14ac:dyDescent="0.35">
      <c r="A49" t="s">
        <v>318</v>
      </c>
      <c r="B49" t="str">
        <f t="shared" si="4"/>
        <v xml:space="preserve"> cl_ra_2005_06_17_016</v>
      </c>
      <c r="C49" s="1">
        <f t="shared" si="3"/>
        <v>45761</v>
      </c>
      <c r="D49" t="s">
        <v>78</v>
      </c>
      <c r="E49">
        <v>190.267</v>
      </c>
      <c r="F49">
        <v>188.00200000000001</v>
      </c>
      <c r="G49">
        <v>12.003</v>
      </c>
      <c r="H49">
        <v>175.09899999999999</v>
      </c>
      <c r="I49">
        <v>0.84881656804733741</v>
      </c>
      <c r="J49">
        <v>285.83300000000003</v>
      </c>
      <c r="K49">
        <v>6.5088757396449702E-3</v>
      </c>
      <c r="L49">
        <v>1.3109999999999999</v>
      </c>
      <c r="M49">
        <v>-13.587</v>
      </c>
      <c r="N49">
        <v>569.15</v>
      </c>
      <c r="O49">
        <v>547.26</v>
      </c>
      <c r="P49">
        <v>119.756</v>
      </c>
      <c r="Q49">
        <v>364.84</v>
      </c>
      <c r="R49">
        <v>866.49400000000003</v>
      </c>
      <c r="S49">
        <v>1143.248</v>
      </c>
      <c r="T49">
        <v>1140.124</v>
      </c>
      <c r="U49">
        <v>68.727999999999994</v>
      </c>
      <c r="V49">
        <v>957.70399999999995</v>
      </c>
      <c r="W49">
        <v>1322.5440000000001</v>
      </c>
      <c r="X49">
        <v>2607.8290000000002</v>
      </c>
      <c r="Y49">
        <v>2599.4830000000002</v>
      </c>
      <c r="Z49">
        <v>206.97800000000001</v>
      </c>
      <c r="AA49">
        <v>2143.433</v>
      </c>
      <c r="AB49">
        <v>3101.1379999999999</v>
      </c>
      <c r="AC49">
        <v>3.38</v>
      </c>
      <c r="AD49">
        <v>187.798</v>
      </c>
      <c r="AE49">
        <v>183.86</v>
      </c>
      <c r="AF49">
        <v>18.658000000000001</v>
      </c>
      <c r="AG49">
        <v>164.816</v>
      </c>
      <c r="AH49">
        <v>0.98377192982456141</v>
      </c>
      <c r="AI49">
        <v>308.392</v>
      </c>
      <c r="AJ49">
        <v>1.0087719298245614E-2</v>
      </c>
      <c r="AK49">
        <v>1.395</v>
      </c>
      <c r="AL49">
        <v>-18.010000000000002</v>
      </c>
      <c r="AM49">
        <v>359.31599999999997</v>
      </c>
      <c r="AN49">
        <v>356.72399999999999</v>
      </c>
      <c r="AO49">
        <v>38.299999999999997</v>
      </c>
      <c r="AP49">
        <v>312.13299999999998</v>
      </c>
      <c r="AQ49">
        <v>624.26700000000005</v>
      </c>
      <c r="AR49">
        <v>2359.4189999999999</v>
      </c>
      <c r="AS49">
        <v>2407.8870000000002</v>
      </c>
      <c r="AT49">
        <v>213.26499999999999</v>
      </c>
      <c r="AU49">
        <v>1382.3050000000001</v>
      </c>
      <c r="AV49">
        <v>2586.2489999999998</v>
      </c>
      <c r="AW49">
        <v>3323.7759999999998</v>
      </c>
      <c r="AX49">
        <v>3299.6970000000001</v>
      </c>
      <c r="AY49">
        <v>181.31299999999999</v>
      </c>
      <c r="AZ49">
        <v>2720.02</v>
      </c>
      <c r="BA49">
        <v>3879.373</v>
      </c>
      <c r="BB49">
        <v>2.2799999999999998</v>
      </c>
      <c r="BC49">
        <v>194.62</v>
      </c>
      <c r="BD49">
        <v>193.36099999999999</v>
      </c>
      <c r="BE49">
        <v>7.9880000000000004</v>
      </c>
      <c r="BF49">
        <v>164.64</v>
      </c>
      <c r="BG49">
        <v>0.99007633587786248</v>
      </c>
      <c r="BH49">
        <v>229.85900000000001</v>
      </c>
      <c r="BI49">
        <v>8.0152671755725196E-3</v>
      </c>
      <c r="BJ49">
        <v>0.77700000000000002</v>
      </c>
      <c r="BK49">
        <v>-18.946999999999999</v>
      </c>
      <c r="BL49">
        <v>380.74400000000003</v>
      </c>
      <c r="BM49">
        <v>376.11900000000003</v>
      </c>
      <c r="BN49">
        <v>15.303000000000001</v>
      </c>
      <c r="BO49">
        <v>329.10399999999998</v>
      </c>
      <c r="BP49">
        <v>423.13400000000001</v>
      </c>
      <c r="BQ49">
        <v>944.57299999999998</v>
      </c>
      <c r="BR49">
        <v>940.29899999999998</v>
      </c>
      <c r="BS49">
        <v>36.628999999999998</v>
      </c>
      <c r="BT49">
        <v>893.28399999999999</v>
      </c>
      <c r="BU49">
        <v>1175.373</v>
      </c>
      <c r="BV49">
        <v>3050.5749999999998</v>
      </c>
      <c r="BW49">
        <v>2961.94</v>
      </c>
      <c r="BX49">
        <v>391.68900000000002</v>
      </c>
      <c r="BY49">
        <v>2115.672</v>
      </c>
      <c r="BZ49">
        <v>4231.3429999999998</v>
      </c>
      <c r="CA49">
        <v>2.62</v>
      </c>
    </row>
    <row r="50" spans="1:84" x14ac:dyDescent="0.35">
      <c r="A50" t="s">
        <v>319</v>
      </c>
      <c r="B50" t="str">
        <f t="shared" si="4"/>
        <v xml:space="preserve"> da_ba_1996_03_25_685</v>
      </c>
      <c r="C50" s="1">
        <f t="shared" si="3"/>
        <v>45761</v>
      </c>
      <c r="D50" t="s">
        <v>78</v>
      </c>
      <c r="E50">
        <v>183.072</v>
      </c>
      <c r="F50">
        <v>183.20500000000001</v>
      </c>
      <c r="G50">
        <v>2.0939999999999999</v>
      </c>
      <c r="H50">
        <v>175.398</v>
      </c>
      <c r="I50">
        <v>1</v>
      </c>
      <c r="J50">
        <v>195.50299999999999</v>
      </c>
      <c r="K50">
        <v>6.3694267515923561E-3</v>
      </c>
      <c r="L50">
        <v>0.48599999999999999</v>
      </c>
      <c r="M50">
        <v>-28.891999999999999</v>
      </c>
      <c r="N50">
        <v>355.61</v>
      </c>
      <c r="O50">
        <v>348.61700000000002</v>
      </c>
      <c r="P50">
        <v>17.507999999999999</v>
      </c>
      <c r="Q50">
        <v>305.04000000000002</v>
      </c>
      <c r="R50">
        <v>392.19400000000002</v>
      </c>
      <c r="S50">
        <v>2456.944</v>
      </c>
      <c r="T50">
        <v>2483.893</v>
      </c>
      <c r="U50">
        <v>122.423</v>
      </c>
      <c r="V50">
        <v>1525.1980000000001</v>
      </c>
      <c r="W50">
        <v>2614.625</v>
      </c>
      <c r="X50">
        <v>3498.9830000000002</v>
      </c>
      <c r="Y50">
        <v>3486.1660000000002</v>
      </c>
      <c r="Z50">
        <v>176.72200000000001</v>
      </c>
      <c r="AA50">
        <v>2745.3560000000002</v>
      </c>
      <c r="AB50">
        <v>4052.6680000000001</v>
      </c>
      <c r="AC50">
        <v>3.14</v>
      </c>
      <c r="AD50">
        <v>185.023</v>
      </c>
      <c r="AE50">
        <v>181.96299999999999</v>
      </c>
      <c r="AF50">
        <v>21.916</v>
      </c>
      <c r="AG50">
        <v>96.983999999999995</v>
      </c>
      <c r="AH50">
        <v>5.8673469387755103E-3</v>
      </c>
      <c r="AI50">
        <v>319.565</v>
      </c>
      <c r="AJ50">
        <v>2.3469387755102041E-2</v>
      </c>
      <c r="AK50">
        <v>3.5329999999999999</v>
      </c>
      <c r="AL50">
        <v>-27.626000000000001</v>
      </c>
      <c r="AM50">
        <v>357.875</v>
      </c>
      <c r="AN50">
        <v>350.34800000000001</v>
      </c>
      <c r="AO50">
        <v>31.748000000000001</v>
      </c>
      <c r="AP50">
        <v>262.76100000000002</v>
      </c>
      <c r="AQ50">
        <v>437.93400000000003</v>
      </c>
      <c r="AR50">
        <v>2308.54</v>
      </c>
      <c r="AS50">
        <v>2452.433</v>
      </c>
      <c r="AT50">
        <v>387.702</v>
      </c>
      <c r="AU50">
        <v>1007.249</v>
      </c>
      <c r="AV50">
        <v>2540.02</v>
      </c>
      <c r="AW50">
        <v>3340.152</v>
      </c>
      <c r="AX50">
        <v>3284.5079999999998</v>
      </c>
      <c r="AY50">
        <v>289.77999999999997</v>
      </c>
      <c r="AZ50">
        <v>2715.194</v>
      </c>
      <c r="BA50">
        <v>4510.7250000000004</v>
      </c>
      <c r="BB50">
        <v>3.92</v>
      </c>
      <c r="BC50">
        <v>182.114</v>
      </c>
      <c r="BD50">
        <v>182.23099999999999</v>
      </c>
      <c r="BE50">
        <v>2.1720000000000002</v>
      </c>
      <c r="BF50">
        <v>167.68100000000001</v>
      </c>
      <c r="BG50">
        <v>0</v>
      </c>
      <c r="BH50">
        <v>185.74</v>
      </c>
      <c r="BI50">
        <v>0.54598540145985397</v>
      </c>
      <c r="BJ50">
        <v>0.46500000000000002</v>
      </c>
      <c r="BK50">
        <v>-28.184999999999999</v>
      </c>
      <c r="BL50">
        <v>343.767</v>
      </c>
      <c r="BM50">
        <v>345.20499999999998</v>
      </c>
      <c r="BN50">
        <v>7789</v>
      </c>
      <c r="BO50">
        <v>302.05500000000001</v>
      </c>
      <c r="BP50">
        <v>345.20499999999998</v>
      </c>
      <c r="BQ50">
        <v>2498.4250000000002</v>
      </c>
      <c r="BR50">
        <v>2502.7399999999998</v>
      </c>
      <c r="BS50">
        <v>89.71</v>
      </c>
      <c r="BT50">
        <v>2286.9859999999999</v>
      </c>
      <c r="BU50">
        <v>2589.0410000000002</v>
      </c>
      <c r="BV50">
        <v>3272.4450000000002</v>
      </c>
      <c r="BW50">
        <v>3236.3009999999999</v>
      </c>
      <c r="BX50">
        <v>219.36500000000001</v>
      </c>
      <c r="BY50">
        <v>2847.9450000000002</v>
      </c>
      <c r="BZ50">
        <v>4185.616</v>
      </c>
      <c r="CA50">
        <v>2.74</v>
      </c>
      <c r="CB50">
        <v>6</v>
      </c>
      <c r="CC50">
        <v>7</v>
      </c>
      <c r="CD50">
        <v>1</v>
      </c>
      <c r="CE50">
        <v>4</v>
      </c>
      <c r="CF50">
        <v>6</v>
      </c>
    </row>
    <row r="51" spans="1:84" x14ac:dyDescent="0.35">
      <c r="A51" t="s">
        <v>320</v>
      </c>
      <c r="B51" t="str">
        <f t="shared" si="4"/>
        <v xml:space="preserve"> el_br_2002_07_12_207</v>
      </c>
      <c r="C51" s="1">
        <f t="shared" si="3"/>
        <v>45761</v>
      </c>
      <c r="D51" t="s">
        <v>78</v>
      </c>
      <c r="E51">
        <v>172.977</v>
      </c>
      <c r="F51">
        <v>171.786</v>
      </c>
      <c r="G51">
        <v>4.0350000000000001</v>
      </c>
      <c r="H51">
        <v>170.27</v>
      </c>
      <c r="I51">
        <v>0.83967391304347816</v>
      </c>
      <c r="J51">
        <v>198.905</v>
      </c>
      <c r="K51">
        <v>0</v>
      </c>
      <c r="L51">
        <v>0.69299999999999995</v>
      </c>
      <c r="M51">
        <v>-24.152999999999999</v>
      </c>
      <c r="N51">
        <v>595.16399999999999</v>
      </c>
      <c r="O51">
        <v>578.63199999999995</v>
      </c>
      <c r="P51">
        <v>60.393000000000001</v>
      </c>
      <c r="Q51">
        <v>537.30100000000004</v>
      </c>
      <c r="R51">
        <v>950.60900000000004</v>
      </c>
      <c r="S51">
        <v>1300.5440000000001</v>
      </c>
      <c r="T51">
        <v>1322.587</v>
      </c>
      <c r="U51">
        <v>54.920999999999999</v>
      </c>
      <c r="V51">
        <v>1157.2629999999999</v>
      </c>
      <c r="W51">
        <v>1405.248</v>
      </c>
      <c r="X51">
        <v>2776.33</v>
      </c>
      <c r="Y51">
        <v>2769.1660000000002</v>
      </c>
      <c r="Z51">
        <v>147.208</v>
      </c>
      <c r="AA51">
        <v>2479.85</v>
      </c>
      <c r="AB51">
        <v>3099.8130000000001</v>
      </c>
      <c r="AC51">
        <v>1.84</v>
      </c>
      <c r="AD51">
        <v>172.547</v>
      </c>
      <c r="AE51">
        <v>169.755</v>
      </c>
      <c r="AF51">
        <v>11.638</v>
      </c>
      <c r="AG51">
        <v>167.863</v>
      </c>
      <c r="AH51">
        <v>0.68516483516483517</v>
      </c>
      <c r="AI51">
        <v>264.072</v>
      </c>
      <c r="AJ51">
        <v>0</v>
      </c>
      <c r="AK51">
        <v>0.73899999999999999</v>
      </c>
      <c r="AL51">
        <v>-29.527000000000001</v>
      </c>
      <c r="AM51">
        <v>294.07900000000001</v>
      </c>
      <c r="AN51">
        <v>290.13200000000001</v>
      </c>
      <c r="AO51">
        <v>12.467000000000001</v>
      </c>
      <c r="AP51">
        <v>290.13200000000001</v>
      </c>
      <c r="AQ51">
        <v>331.57900000000001</v>
      </c>
      <c r="AR51">
        <v>1925.259</v>
      </c>
      <c r="AS51">
        <v>1906.579</v>
      </c>
      <c r="AT51">
        <v>229.46700000000001</v>
      </c>
      <c r="AU51">
        <v>1409.211</v>
      </c>
      <c r="AV51">
        <v>2486.8420000000001</v>
      </c>
      <c r="AW51">
        <v>3400.9250000000002</v>
      </c>
      <c r="AX51">
        <v>3398.6840000000002</v>
      </c>
      <c r="AY51">
        <v>131.94300000000001</v>
      </c>
      <c r="AZ51">
        <v>2942.7629999999999</v>
      </c>
      <c r="BA51">
        <v>3647.3679999999999</v>
      </c>
      <c r="BB51">
        <v>1.82</v>
      </c>
      <c r="BC51">
        <v>171.30600000000001</v>
      </c>
      <c r="BD51">
        <v>168.50399999999999</v>
      </c>
      <c r="BE51">
        <v>11.427</v>
      </c>
      <c r="BF51">
        <v>165.96799999999999</v>
      </c>
      <c r="BG51">
        <v>0.95227272727272727</v>
      </c>
      <c r="BH51">
        <v>250.56800000000001</v>
      </c>
      <c r="BI51">
        <v>0</v>
      </c>
      <c r="BJ51">
        <v>0.85099999999999998</v>
      </c>
      <c r="BK51">
        <v>-27.664999999999999</v>
      </c>
      <c r="BL51">
        <v>330.67899999999997</v>
      </c>
      <c r="BM51">
        <v>329.41199999999998</v>
      </c>
      <c r="BN51">
        <v>10.215</v>
      </c>
      <c r="BO51">
        <v>329.41199999999998</v>
      </c>
      <c r="BP51">
        <v>411.76499999999999</v>
      </c>
      <c r="BQ51">
        <v>1001.014</v>
      </c>
      <c r="BR51">
        <v>988.23500000000001</v>
      </c>
      <c r="BS51">
        <v>39.835999999999999</v>
      </c>
      <c r="BT51">
        <v>947.05899999999997</v>
      </c>
      <c r="BU51">
        <v>1111.7650000000001</v>
      </c>
      <c r="BV51">
        <v>3348.6329999999998</v>
      </c>
      <c r="BW51">
        <v>3335.2939999999999</v>
      </c>
      <c r="BX51">
        <v>101.28700000000001</v>
      </c>
      <c r="BY51">
        <v>3088.2350000000001</v>
      </c>
      <c r="BZ51">
        <v>3541.1759999999999</v>
      </c>
      <c r="CA51">
        <v>1.76</v>
      </c>
      <c r="CB51">
        <v>3</v>
      </c>
      <c r="CC51">
        <v>0</v>
      </c>
      <c r="CD51">
        <v>0</v>
      </c>
      <c r="CE51">
        <v>0</v>
      </c>
      <c r="CF51">
        <v>0</v>
      </c>
    </row>
    <row r="52" spans="1:84" x14ac:dyDescent="0.35">
      <c r="A52" t="s">
        <v>321</v>
      </c>
      <c r="B52" t="str">
        <f t="shared" si="4"/>
        <v xml:space="preserve"> el_fi_2000_06_25_140</v>
      </c>
      <c r="C52" s="1">
        <f t="shared" si="3"/>
        <v>45761</v>
      </c>
      <c r="D52" t="s">
        <v>78</v>
      </c>
      <c r="E52">
        <v>138.91200000000001</v>
      </c>
      <c r="F52">
        <v>139.93700000000001</v>
      </c>
      <c r="G52">
        <v>2.9740000000000002</v>
      </c>
      <c r="H52">
        <v>131.86699999999999</v>
      </c>
      <c r="I52">
        <v>1.1764705882352941E-2</v>
      </c>
      <c r="J52">
        <v>143.84899999999999</v>
      </c>
      <c r="K52">
        <v>0.97000000000000008</v>
      </c>
      <c r="L52">
        <v>0.54600000000000004</v>
      </c>
      <c r="M52">
        <v>-19.608000000000001</v>
      </c>
      <c r="N52">
        <v>772.3</v>
      </c>
      <c r="O52">
        <v>795.19200000000001</v>
      </c>
      <c r="P52">
        <v>52.531999999999996</v>
      </c>
      <c r="Q52">
        <v>629.52700000000004</v>
      </c>
      <c r="R52">
        <v>828.32500000000005</v>
      </c>
      <c r="S52">
        <v>1070.4970000000001</v>
      </c>
      <c r="T52">
        <v>1060.2550000000001</v>
      </c>
      <c r="U52">
        <v>45.030999999999999</v>
      </c>
      <c r="V52">
        <v>1027.1220000000001</v>
      </c>
      <c r="W52">
        <v>1225.92</v>
      </c>
      <c r="X52">
        <v>2997.029</v>
      </c>
      <c r="Y52">
        <v>2981.9679999999998</v>
      </c>
      <c r="Z52">
        <v>135.83699999999999</v>
      </c>
      <c r="AA52">
        <v>2650.6390000000001</v>
      </c>
      <c r="AB52">
        <v>3313.2979999999998</v>
      </c>
      <c r="AC52">
        <v>1.7</v>
      </c>
      <c r="AD52">
        <v>139.78700000000001</v>
      </c>
      <c r="AE52">
        <v>140.12700000000001</v>
      </c>
      <c r="AF52">
        <v>2.6629999999999998</v>
      </c>
      <c r="AG52">
        <v>128.571</v>
      </c>
      <c r="AH52">
        <v>0.97681159420289865</v>
      </c>
      <c r="AI52">
        <v>150.732</v>
      </c>
      <c r="AJ52">
        <v>0.95434782608695656</v>
      </c>
      <c r="AK52">
        <v>0.92600000000000005</v>
      </c>
      <c r="AL52">
        <v>-25.879000000000001</v>
      </c>
      <c r="AM52">
        <v>288.80900000000003</v>
      </c>
      <c r="AN52">
        <v>300.45400000000001</v>
      </c>
      <c r="AO52">
        <v>16.099</v>
      </c>
      <c r="AP52">
        <v>267.07</v>
      </c>
      <c r="AQ52">
        <v>300.45400000000001</v>
      </c>
      <c r="AW52">
        <v>3215.973</v>
      </c>
      <c r="AX52">
        <v>3204.8449999999998</v>
      </c>
      <c r="AY52">
        <v>134.66800000000001</v>
      </c>
      <c r="AZ52">
        <v>3037.9259999999999</v>
      </c>
      <c r="BA52">
        <v>3772.3690000000001</v>
      </c>
      <c r="BB52">
        <v>1.38</v>
      </c>
      <c r="BC52">
        <v>143.64599999999999</v>
      </c>
      <c r="BD52">
        <v>142.45500000000001</v>
      </c>
      <c r="BE52">
        <v>5.5750000000000002</v>
      </c>
      <c r="BF52">
        <v>139.74600000000001</v>
      </c>
      <c r="BG52">
        <v>0.94121621621621621</v>
      </c>
      <c r="BH52">
        <v>180.21</v>
      </c>
      <c r="BI52">
        <v>0.96148648648648649</v>
      </c>
      <c r="BJ52">
        <v>1.4590000000000001</v>
      </c>
      <c r="BK52">
        <v>-26.533000000000001</v>
      </c>
      <c r="BL52">
        <v>321.77999999999997</v>
      </c>
      <c r="BM52">
        <v>309.83600000000001</v>
      </c>
      <c r="BN52">
        <v>16.556999999999999</v>
      </c>
      <c r="BO52">
        <v>309.83600000000001</v>
      </c>
      <c r="BP52">
        <v>344.262</v>
      </c>
      <c r="BQ52">
        <v>1127.8689999999999</v>
      </c>
      <c r="BR52">
        <v>1101.6389999999999</v>
      </c>
      <c r="BS52">
        <v>85.623000000000005</v>
      </c>
      <c r="BT52">
        <v>1067.213</v>
      </c>
      <c r="BU52">
        <v>1549.18</v>
      </c>
      <c r="BV52">
        <v>3147.2460000000001</v>
      </c>
      <c r="BW52">
        <v>3132.7869999999998</v>
      </c>
      <c r="BX52">
        <v>128.452</v>
      </c>
      <c r="BY52">
        <v>2754.098</v>
      </c>
      <c r="BZ52">
        <v>3373.77</v>
      </c>
      <c r="CA52">
        <v>1.48</v>
      </c>
      <c r="CB52">
        <v>5</v>
      </c>
      <c r="CC52">
        <v>0</v>
      </c>
      <c r="CD52">
        <v>0</v>
      </c>
      <c r="CE52">
        <v>1</v>
      </c>
      <c r="CF52">
        <v>0</v>
      </c>
    </row>
    <row r="53" spans="1:84" x14ac:dyDescent="0.35">
      <c r="A53" t="s">
        <v>322</v>
      </c>
      <c r="B53" t="str">
        <f t="shared" si="4"/>
        <v xml:space="preserve"> el_lu_2005_12_21_023</v>
      </c>
      <c r="C53" s="1">
        <f t="shared" si="3"/>
        <v>45761</v>
      </c>
      <c r="D53" t="s">
        <v>78</v>
      </c>
      <c r="E53">
        <v>171.45400000000001</v>
      </c>
      <c r="F53">
        <v>171.595</v>
      </c>
      <c r="G53">
        <v>1.6759999999999999</v>
      </c>
      <c r="H53">
        <v>163.767</v>
      </c>
      <c r="I53">
        <v>0.98392857142857137</v>
      </c>
      <c r="J53">
        <v>175.298</v>
      </c>
      <c r="K53">
        <v>0</v>
      </c>
      <c r="L53">
        <v>0.40899999999999997</v>
      </c>
      <c r="M53">
        <v>-22.55</v>
      </c>
      <c r="N53">
        <v>677.65</v>
      </c>
      <c r="O53">
        <v>653.33299999999997</v>
      </c>
      <c r="P53">
        <v>57.655000000000001</v>
      </c>
      <c r="Q53">
        <v>490</v>
      </c>
      <c r="R53">
        <v>1061.6669999999999</v>
      </c>
      <c r="S53">
        <v>1221.8240000000001</v>
      </c>
      <c r="T53">
        <v>1225</v>
      </c>
      <c r="U53">
        <v>26.134</v>
      </c>
      <c r="V53">
        <v>1184.1669999999999</v>
      </c>
      <c r="W53">
        <v>1306.6669999999999</v>
      </c>
      <c r="X53">
        <v>2790.7310000000002</v>
      </c>
      <c r="Y53">
        <v>2776.6669999999999</v>
      </c>
      <c r="Z53">
        <v>146.03299999999999</v>
      </c>
      <c r="AA53">
        <v>2490.8330000000001</v>
      </c>
      <c r="AB53">
        <v>3470.8330000000001</v>
      </c>
      <c r="AC53">
        <v>2.2400000000000002</v>
      </c>
      <c r="AD53">
        <v>175.16</v>
      </c>
      <c r="AE53">
        <v>174.95099999999999</v>
      </c>
      <c r="AF53">
        <v>2.448</v>
      </c>
      <c r="AG53">
        <v>168.596</v>
      </c>
      <c r="AH53">
        <v>0.95632911392405051</v>
      </c>
      <c r="AI53">
        <v>182.988</v>
      </c>
      <c r="AJ53">
        <v>0.10569620253164558</v>
      </c>
      <c r="AK53">
        <v>0.51800000000000002</v>
      </c>
      <c r="AL53">
        <v>-27.215</v>
      </c>
      <c r="AM53">
        <v>334.52800000000002</v>
      </c>
      <c r="AN53">
        <v>332.51600000000002</v>
      </c>
      <c r="AO53">
        <v>11.726000000000001</v>
      </c>
      <c r="AP53">
        <v>332.51600000000002</v>
      </c>
      <c r="AQ53">
        <v>415.64600000000002</v>
      </c>
      <c r="AR53">
        <v>1900.28</v>
      </c>
      <c r="AS53">
        <v>1870.405</v>
      </c>
      <c r="AT53">
        <v>142.542</v>
      </c>
      <c r="AU53">
        <v>1496.3240000000001</v>
      </c>
      <c r="AV53">
        <v>2244.4859999999999</v>
      </c>
      <c r="AW53">
        <v>3786.2719999999999</v>
      </c>
      <c r="AX53">
        <v>3865.5039999999999</v>
      </c>
      <c r="AY53">
        <v>320.48200000000003</v>
      </c>
      <c r="AZ53">
        <v>2493.8739999999998</v>
      </c>
      <c r="BA53">
        <v>4198.0209999999997</v>
      </c>
      <c r="BB53">
        <v>1.58</v>
      </c>
      <c r="BC53">
        <v>175.03700000000001</v>
      </c>
      <c r="BD53">
        <v>175.298</v>
      </c>
      <c r="BE53">
        <v>1.6819999999999999</v>
      </c>
      <c r="BF53">
        <v>165.96799999999999</v>
      </c>
      <c r="BG53">
        <v>0</v>
      </c>
      <c r="BH53">
        <v>179.268</v>
      </c>
      <c r="BI53">
        <v>3.6138613861386136E-2</v>
      </c>
      <c r="BJ53">
        <v>0.45600000000000002</v>
      </c>
      <c r="BK53">
        <v>-27.074999999999999</v>
      </c>
      <c r="BL53">
        <v>379.56700000000001</v>
      </c>
      <c r="BM53">
        <v>375.49700000000001</v>
      </c>
      <c r="BN53">
        <v>12.456</v>
      </c>
      <c r="BO53">
        <v>375.49700000000001</v>
      </c>
      <c r="BP53">
        <v>417.21899999999999</v>
      </c>
      <c r="BQ53">
        <v>1073.066</v>
      </c>
      <c r="BR53">
        <v>1084.768</v>
      </c>
      <c r="BS53">
        <v>45.551000000000002</v>
      </c>
      <c r="BT53">
        <v>1001.325</v>
      </c>
      <c r="BU53">
        <v>1335.0989999999999</v>
      </c>
      <c r="BV53">
        <v>3904.7629999999999</v>
      </c>
      <c r="BW53">
        <v>3880.1320000000001</v>
      </c>
      <c r="BX53">
        <v>137.76599999999999</v>
      </c>
      <c r="BY53">
        <v>3504.636</v>
      </c>
      <c r="BZ53">
        <v>4130.4639999999999</v>
      </c>
      <c r="CA53">
        <v>2.02</v>
      </c>
      <c r="CB53">
        <v>7</v>
      </c>
      <c r="CC53">
        <v>3</v>
      </c>
      <c r="CD53">
        <v>2</v>
      </c>
      <c r="CE53">
        <v>3</v>
      </c>
      <c r="CF53">
        <v>0</v>
      </c>
    </row>
    <row r="54" spans="1:84" x14ac:dyDescent="0.35">
      <c r="A54" t="s">
        <v>323</v>
      </c>
      <c r="B54" t="str">
        <f t="shared" si="4"/>
        <v xml:space="preserve"> el_pa_2005_03_01_796</v>
      </c>
      <c r="C54" s="1">
        <f t="shared" si="3"/>
        <v>45761</v>
      </c>
      <c r="D54" t="s">
        <v>78</v>
      </c>
      <c r="E54">
        <v>181.52600000000001</v>
      </c>
      <c r="F54">
        <v>181.16200000000001</v>
      </c>
      <c r="G54">
        <v>2.843</v>
      </c>
      <c r="H54">
        <v>176.4</v>
      </c>
      <c r="I54">
        <v>1.4556962025316455E-2</v>
      </c>
      <c r="J54">
        <v>200.977</v>
      </c>
      <c r="K54">
        <v>0</v>
      </c>
      <c r="L54">
        <v>0.63100000000000001</v>
      </c>
      <c r="M54">
        <v>-25.373999999999999</v>
      </c>
      <c r="N54">
        <v>652.36699999999996</v>
      </c>
      <c r="O54">
        <v>695.85799999999995</v>
      </c>
      <c r="P54">
        <v>101.706</v>
      </c>
      <c r="Q54">
        <v>304.43799999999999</v>
      </c>
      <c r="R54">
        <v>826.33100000000002</v>
      </c>
      <c r="S54">
        <v>1185.3309999999999</v>
      </c>
      <c r="T54">
        <v>1174.26</v>
      </c>
      <c r="U54">
        <v>119.61</v>
      </c>
      <c r="V54">
        <v>1087.278</v>
      </c>
      <c r="W54">
        <v>1870.1179999999999</v>
      </c>
      <c r="X54">
        <v>2929.4839999999999</v>
      </c>
      <c r="Y54">
        <v>2913.9050000000002</v>
      </c>
      <c r="Z54">
        <v>73.284999999999997</v>
      </c>
      <c r="AA54">
        <v>2739.9409999999998</v>
      </c>
      <c r="AB54">
        <v>3218.3429999999998</v>
      </c>
      <c r="AC54">
        <v>1.58</v>
      </c>
      <c r="AD54">
        <v>195.62</v>
      </c>
      <c r="AE54">
        <v>194.15100000000001</v>
      </c>
      <c r="AF54">
        <v>7.8230000000000004</v>
      </c>
      <c r="AG54">
        <v>188.69200000000001</v>
      </c>
      <c r="AH54">
        <v>0.89013157894736838</v>
      </c>
      <c r="AI54">
        <v>253.65700000000001</v>
      </c>
      <c r="AJ54">
        <v>1.4473684210526314E-2</v>
      </c>
      <c r="AK54">
        <v>1.0529999999999999</v>
      </c>
      <c r="AL54">
        <v>-28.478000000000002</v>
      </c>
      <c r="AM54">
        <v>355.93799999999999</v>
      </c>
      <c r="AN54">
        <v>330.51400000000001</v>
      </c>
      <c r="AO54">
        <v>31.655000000000001</v>
      </c>
      <c r="AP54">
        <v>330.51400000000001</v>
      </c>
      <c r="AQ54">
        <v>472.16300000000001</v>
      </c>
      <c r="AR54">
        <v>2098.7629999999999</v>
      </c>
      <c r="AS54">
        <v>2171.9490000000001</v>
      </c>
      <c r="AT54">
        <v>328.858</v>
      </c>
      <c r="AU54">
        <v>1274.8389999999999</v>
      </c>
      <c r="AV54">
        <v>2549.6790000000001</v>
      </c>
      <c r="AW54">
        <v>3191.1460000000002</v>
      </c>
      <c r="AX54">
        <v>3163.49</v>
      </c>
      <c r="AY54">
        <v>239.34200000000001</v>
      </c>
      <c r="AZ54">
        <v>2596.895</v>
      </c>
      <c r="BA54">
        <v>3682.8690000000001</v>
      </c>
      <c r="BB54">
        <v>1.52</v>
      </c>
      <c r="BC54">
        <v>189.392</v>
      </c>
      <c r="BD54">
        <v>189.79400000000001</v>
      </c>
      <c r="BE54">
        <v>10.644</v>
      </c>
      <c r="BF54">
        <v>103.66</v>
      </c>
      <c r="BG54">
        <v>1.2195121951219513E-2</v>
      </c>
      <c r="BH54">
        <v>202.69200000000001</v>
      </c>
      <c r="BI54">
        <v>2.621951219512195E-2</v>
      </c>
      <c r="BJ54">
        <v>1.69</v>
      </c>
      <c r="BK54">
        <v>-27.738</v>
      </c>
      <c r="BL54">
        <v>386.90699999999998</v>
      </c>
      <c r="BM54">
        <v>400.505</v>
      </c>
      <c r="BN54">
        <v>35.536999999999999</v>
      </c>
      <c r="BO54">
        <v>311.50400000000002</v>
      </c>
      <c r="BP54">
        <v>489.50599999999997</v>
      </c>
      <c r="BQ54">
        <v>1029.779</v>
      </c>
      <c r="BR54">
        <v>1023.5119999999999</v>
      </c>
      <c r="BS54">
        <v>28.44</v>
      </c>
      <c r="BT54">
        <v>979.01099999999997</v>
      </c>
      <c r="BU54">
        <v>1112.5129999999999</v>
      </c>
      <c r="BV54">
        <v>3055.0830000000001</v>
      </c>
      <c r="BW54">
        <v>3026.0340000000001</v>
      </c>
      <c r="BX54">
        <v>191.31800000000001</v>
      </c>
      <c r="BY54">
        <v>2759.0309999999999</v>
      </c>
      <c r="BZ54">
        <v>3693.5419999999999</v>
      </c>
      <c r="CA54">
        <v>1.64</v>
      </c>
      <c r="CB54">
        <v>8</v>
      </c>
      <c r="CC54">
        <v>3</v>
      </c>
      <c r="CD54">
        <v>0</v>
      </c>
      <c r="CE54">
        <v>4</v>
      </c>
      <c r="CF54">
        <v>2</v>
      </c>
    </row>
    <row r="55" spans="1:84" x14ac:dyDescent="0.35">
      <c r="A55" t="s">
        <v>324</v>
      </c>
      <c r="B55" t="str">
        <f t="shared" si="4"/>
        <v xml:space="preserve"> el_pa_2005_08_14_772</v>
      </c>
      <c r="C55" s="1">
        <f t="shared" si="3"/>
        <v>45761</v>
      </c>
      <c r="D55" t="s">
        <v>78</v>
      </c>
      <c r="E55">
        <v>196.71600000000001</v>
      </c>
      <c r="F55">
        <v>195.876</v>
      </c>
      <c r="G55">
        <v>5.2039999999999997</v>
      </c>
      <c r="H55">
        <v>193.785</v>
      </c>
      <c r="I55">
        <v>0.28011363636363634</v>
      </c>
      <c r="J55">
        <v>232.80500000000001</v>
      </c>
      <c r="K55">
        <v>5.681818181818182E-3</v>
      </c>
      <c r="L55">
        <v>0.372</v>
      </c>
      <c r="M55">
        <v>-27.802</v>
      </c>
      <c r="N55">
        <v>727.55100000000004</v>
      </c>
      <c r="O55">
        <v>749.84100000000001</v>
      </c>
      <c r="P55">
        <v>39.689</v>
      </c>
      <c r="Q55">
        <v>421.78500000000003</v>
      </c>
      <c r="R55">
        <v>749.84100000000001</v>
      </c>
      <c r="S55">
        <v>1164.4770000000001</v>
      </c>
      <c r="T55">
        <v>1171.626</v>
      </c>
      <c r="U55">
        <v>40.933</v>
      </c>
      <c r="V55">
        <v>1077.896</v>
      </c>
      <c r="W55">
        <v>1405.951</v>
      </c>
      <c r="X55">
        <v>3476.0140000000001</v>
      </c>
      <c r="Y55">
        <v>3514.8780000000002</v>
      </c>
      <c r="Z55">
        <v>233.29400000000001</v>
      </c>
      <c r="AA55">
        <v>2811.902</v>
      </c>
      <c r="AB55">
        <v>3936.663</v>
      </c>
      <c r="AC55">
        <v>3.52</v>
      </c>
      <c r="AD55">
        <v>210.876</v>
      </c>
      <c r="AE55">
        <v>210.57300000000001</v>
      </c>
      <c r="AF55">
        <v>10.702</v>
      </c>
      <c r="AG55">
        <v>112.87</v>
      </c>
      <c r="AH55">
        <v>0.97796052631578945</v>
      </c>
      <c r="AI55">
        <v>266.35000000000002</v>
      </c>
      <c r="AJ55">
        <v>0.99111842105263148</v>
      </c>
      <c r="AK55">
        <v>1.609</v>
      </c>
      <c r="AL55">
        <v>-29.748000000000001</v>
      </c>
      <c r="AM55">
        <v>354.2</v>
      </c>
      <c r="AN55">
        <v>353.20400000000001</v>
      </c>
      <c r="AO55">
        <v>13.582000000000001</v>
      </c>
      <c r="AP55">
        <v>302.74599999999998</v>
      </c>
      <c r="AQ55">
        <v>403.661</v>
      </c>
      <c r="AR55">
        <v>2450.848</v>
      </c>
      <c r="AS55">
        <v>2472.4259999999999</v>
      </c>
      <c r="AT55">
        <v>49.48</v>
      </c>
      <c r="AU55">
        <v>2169.6799999999998</v>
      </c>
      <c r="AV55">
        <v>2573.3409999999999</v>
      </c>
      <c r="AW55">
        <v>3414.855</v>
      </c>
      <c r="AX55">
        <v>3481.5790000000002</v>
      </c>
      <c r="AY55">
        <v>277.62200000000001</v>
      </c>
      <c r="AZ55">
        <v>2775.172</v>
      </c>
      <c r="BA55">
        <v>4036.6129999999998</v>
      </c>
      <c r="BB55">
        <v>3.04</v>
      </c>
      <c r="BC55">
        <v>204.11799999999999</v>
      </c>
      <c r="BD55">
        <v>204.43700000000001</v>
      </c>
      <c r="BE55">
        <v>11.38</v>
      </c>
      <c r="BF55">
        <v>115.575</v>
      </c>
      <c r="BG55">
        <v>0.98723139208969168</v>
      </c>
      <c r="BH55">
        <v>273.91300000000001</v>
      </c>
      <c r="BI55">
        <v>1</v>
      </c>
      <c r="BJ55">
        <v>1.4850000000000001</v>
      </c>
      <c r="BK55">
        <v>-31.939</v>
      </c>
      <c r="BL55">
        <v>393.24900000000002</v>
      </c>
      <c r="BM55">
        <v>385.99599999999998</v>
      </c>
      <c r="BN55">
        <v>18.164000000000001</v>
      </c>
      <c r="BO55">
        <v>337.74599999999998</v>
      </c>
      <c r="BP55">
        <v>434.245</v>
      </c>
      <c r="BQ55">
        <v>1026.809</v>
      </c>
      <c r="BR55">
        <v>1013.239</v>
      </c>
      <c r="BS55">
        <v>120.224</v>
      </c>
      <c r="BT55">
        <v>964.98900000000003</v>
      </c>
      <c r="BU55">
        <v>1592.232</v>
      </c>
      <c r="BV55">
        <v>3362.9549999999999</v>
      </c>
      <c r="BW55">
        <v>3425.7109999999998</v>
      </c>
      <c r="BX55">
        <v>498.91500000000002</v>
      </c>
      <c r="BY55">
        <v>2219.4749999999999</v>
      </c>
      <c r="BZ55">
        <v>4245.9520000000002</v>
      </c>
      <c r="CA55">
        <v>3.2109999999999999</v>
      </c>
      <c r="CB55">
        <v>5</v>
      </c>
      <c r="CC55">
        <v>3</v>
      </c>
      <c r="CD55">
        <v>0</v>
      </c>
      <c r="CE55">
        <v>4</v>
      </c>
      <c r="CF55">
        <v>0</v>
      </c>
    </row>
    <row r="56" spans="1:84" x14ac:dyDescent="0.35">
      <c r="A56" t="s">
        <v>325</v>
      </c>
      <c r="B56" t="str">
        <f t="shared" si="4"/>
        <v xml:space="preserve"> el_ro_1992_05_28_005</v>
      </c>
      <c r="C56" s="1">
        <f t="shared" si="3"/>
        <v>45761</v>
      </c>
      <c r="D56" t="s">
        <v>78</v>
      </c>
      <c r="E56">
        <v>158.39599999999999</v>
      </c>
      <c r="F56">
        <v>156.62100000000001</v>
      </c>
      <c r="G56">
        <v>6.3040000000000003</v>
      </c>
      <c r="H56">
        <v>150.80600000000001</v>
      </c>
      <c r="I56">
        <v>0.58210227272727266</v>
      </c>
      <c r="J56">
        <v>197.75800000000001</v>
      </c>
      <c r="K56">
        <v>5.681818181818182E-3</v>
      </c>
      <c r="L56">
        <v>0.88300000000000001</v>
      </c>
      <c r="M56">
        <v>-25.082000000000001</v>
      </c>
      <c r="N56">
        <v>636.10299999999995</v>
      </c>
      <c r="O56">
        <v>641.31700000000001</v>
      </c>
      <c r="P56">
        <v>121.938</v>
      </c>
      <c r="Q56">
        <v>414.97</v>
      </c>
      <c r="R56">
        <v>867.66499999999996</v>
      </c>
      <c r="S56">
        <v>1294.924</v>
      </c>
      <c r="T56">
        <v>1282.635</v>
      </c>
      <c r="U56">
        <v>57.75</v>
      </c>
      <c r="V56">
        <v>1094.0119999999999</v>
      </c>
      <c r="W56">
        <v>1508.982</v>
      </c>
      <c r="X56">
        <v>2620.9989999999998</v>
      </c>
      <c r="Y56">
        <v>2565.2689999999998</v>
      </c>
      <c r="Z56">
        <v>221.22399999999999</v>
      </c>
      <c r="AA56">
        <v>2225.7489999999998</v>
      </c>
      <c r="AB56">
        <v>3432.9340000000002</v>
      </c>
      <c r="AC56">
        <v>3.52</v>
      </c>
      <c r="AD56">
        <v>160.352</v>
      </c>
      <c r="AE56">
        <v>159.94800000000001</v>
      </c>
      <c r="AF56">
        <v>4.5780000000000003</v>
      </c>
      <c r="AG56">
        <v>154.042</v>
      </c>
      <c r="AH56">
        <v>0.15192307692307694</v>
      </c>
      <c r="AI56">
        <v>197.75800000000001</v>
      </c>
      <c r="AJ56">
        <v>0</v>
      </c>
      <c r="AK56">
        <v>0.629</v>
      </c>
      <c r="AL56">
        <v>-27.832000000000001</v>
      </c>
      <c r="AM56">
        <v>306.53800000000001</v>
      </c>
      <c r="AN56">
        <v>306.25</v>
      </c>
      <c r="AO56">
        <v>3319</v>
      </c>
      <c r="AP56">
        <v>306.25</v>
      </c>
      <c r="AQ56">
        <v>344.53100000000001</v>
      </c>
      <c r="AR56">
        <v>1807.9010000000001</v>
      </c>
      <c r="AS56">
        <v>1799.2190000000001</v>
      </c>
      <c r="AT56">
        <v>132.32300000000001</v>
      </c>
      <c r="AU56">
        <v>1569.5309999999999</v>
      </c>
      <c r="AV56">
        <v>2296.875</v>
      </c>
      <c r="AW56">
        <v>3464.1759999999999</v>
      </c>
      <c r="AX56">
        <v>3368.75</v>
      </c>
      <c r="AY56">
        <v>364.70299999999997</v>
      </c>
      <c r="AZ56">
        <v>2794.5309999999999</v>
      </c>
      <c r="BA56">
        <v>4785.1559999999999</v>
      </c>
      <c r="BB56">
        <v>3.64</v>
      </c>
      <c r="BC56">
        <v>162.59100000000001</v>
      </c>
      <c r="BD56">
        <v>161.96199999999999</v>
      </c>
      <c r="BE56">
        <v>5.0549999999999997</v>
      </c>
      <c r="BF56">
        <v>155.90899999999999</v>
      </c>
      <c r="BG56">
        <v>0.63952095808383236</v>
      </c>
      <c r="BH56">
        <v>192.57599999999999</v>
      </c>
      <c r="BI56">
        <v>0</v>
      </c>
      <c r="BJ56">
        <v>0.67200000000000004</v>
      </c>
      <c r="BK56">
        <v>-26.125</v>
      </c>
      <c r="BL56">
        <v>315.75599999999997</v>
      </c>
      <c r="BM56">
        <v>309.47399999999999</v>
      </c>
      <c r="BN56">
        <v>15.202</v>
      </c>
      <c r="BO56">
        <v>309.47399999999999</v>
      </c>
      <c r="BP56">
        <v>386.84199999999998</v>
      </c>
      <c r="BQ56">
        <v>1008.884</v>
      </c>
      <c r="BR56">
        <v>967.10500000000002</v>
      </c>
      <c r="BS56">
        <v>86.444999999999993</v>
      </c>
      <c r="BT56">
        <v>967.10500000000002</v>
      </c>
      <c r="BU56">
        <v>1663.421</v>
      </c>
      <c r="BV56">
        <v>3233.4560000000001</v>
      </c>
      <c r="BW56">
        <v>3249.4740000000002</v>
      </c>
      <c r="BX56">
        <v>194.637</v>
      </c>
      <c r="BY56">
        <v>2437.105</v>
      </c>
      <c r="BZ56">
        <v>3597.6320000000001</v>
      </c>
      <c r="CA56">
        <v>3.34</v>
      </c>
      <c r="CB56">
        <v>5</v>
      </c>
      <c r="CC56">
        <v>1</v>
      </c>
      <c r="CD56">
        <v>0</v>
      </c>
      <c r="CE56">
        <v>1</v>
      </c>
      <c r="CF56">
        <v>3</v>
      </c>
    </row>
    <row r="57" spans="1:84" x14ac:dyDescent="0.35">
      <c r="A57" t="s">
        <v>326</v>
      </c>
      <c r="B57" t="str">
        <f t="shared" si="4"/>
        <v xml:space="preserve"> el_sa_2005_06_30_005</v>
      </c>
      <c r="C57" s="1">
        <f t="shared" si="3"/>
        <v>45761</v>
      </c>
      <c r="D57" t="s">
        <v>78</v>
      </c>
      <c r="E57">
        <v>208.351</v>
      </c>
      <c r="F57">
        <v>208.44</v>
      </c>
      <c r="G57">
        <v>3.2090000000000001</v>
      </c>
      <c r="H57">
        <v>201.107</v>
      </c>
      <c r="I57">
        <v>7.1212121212121213E-2</v>
      </c>
      <c r="J57">
        <v>229.68799999999999</v>
      </c>
      <c r="K57">
        <v>0</v>
      </c>
      <c r="L57">
        <v>0.45500000000000002</v>
      </c>
      <c r="M57">
        <v>-25.866</v>
      </c>
      <c r="N57">
        <v>604.78399999999999</v>
      </c>
      <c r="O57">
        <v>602.73299999999995</v>
      </c>
      <c r="P57">
        <v>51.968000000000004</v>
      </c>
      <c r="Q57">
        <v>502.27800000000002</v>
      </c>
      <c r="R57">
        <v>853.87199999999996</v>
      </c>
      <c r="S57">
        <v>1111.162</v>
      </c>
      <c r="T57">
        <v>1105.011</v>
      </c>
      <c r="U57">
        <v>57.366</v>
      </c>
      <c r="V57">
        <v>1004.556</v>
      </c>
      <c r="W57">
        <v>1406.3779999999999</v>
      </c>
      <c r="X57">
        <v>3101.31</v>
      </c>
      <c r="Y57">
        <v>3164.3510000000001</v>
      </c>
      <c r="Z57">
        <v>297.92200000000003</v>
      </c>
      <c r="AA57">
        <v>2159.7950000000001</v>
      </c>
      <c r="AB57">
        <v>3666.6289999999999</v>
      </c>
      <c r="AC57">
        <v>1.98</v>
      </c>
      <c r="AD57">
        <v>218.887</v>
      </c>
      <c r="AE57">
        <v>218.626</v>
      </c>
      <c r="AF57">
        <v>2.004</v>
      </c>
      <c r="AG57">
        <v>214.97200000000001</v>
      </c>
      <c r="AH57">
        <v>3.3529411764705884E-2</v>
      </c>
      <c r="AI57">
        <v>233.864</v>
      </c>
      <c r="AJ57">
        <v>0</v>
      </c>
      <c r="AK57">
        <v>0.29299999999999998</v>
      </c>
      <c r="AL57">
        <v>-32.110999999999997</v>
      </c>
      <c r="AM57">
        <v>372.673</v>
      </c>
      <c r="AN57">
        <v>371.48</v>
      </c>
      <c r="AO57">
        <v>13.805</v>
      </c>
      <c r="AP57">
        <v>318.41199999999998</v>
      </c>
      <c r="AQ57">
        <v>424.54899999999998</v>
      </c>
      <c r="AR57">
        <v>1582.4090000000001</v>
      </c>
      <c r="AS57">
        <v>1592.058</v>
      </c>
      <c r="AT57">
        <v>46.375</v>
      </c>
      <c r="AU57">
        <v>1538.989</v>
      </c>
      <c r="AV57">
        <v>1698.1949999999999</v>
      </c>
      <c r="AW57">
        <v>3472.7130000000002</v>
      </c>
      <c r="AX57">
        <v>3449.4580000000001</v>
      </c>
      <c r="AY57">
        <v>208.464</v>
      </c>
      <c r="AZ57">
        <v>2918.7730000000001</v>
      </c>
      <c r="BA57">
        <v>4086.2820000000002</v>
      </c>
      <c r="BB57">
        <v>1.7</v>
      </c>
      <c r="BC57">
        <v>226.672</v>
      </c>
      <c r="BD57">
        <v>227.655</v>
      </c>
      <c r="BE57">
        <v>5.1269999999999998</v>
      </c>
      <c r="BF57">
        <v>192.93799999999999</v>
      </c>
      <c r="BG57">
        <v>1.2345679012345678E-2</v>
      </c>
      <c r="BH57">
        <v>231.583</v>
      </c>
      <c r="BI57">
        <v>0.18271604938271602</v>
      </c>
      <c r="BJ57">
        <v>0.56100000000000005</v>
      </c>
      <c r="BK57">
        <v>-28.588999999999999</v>
      </c>
      <c r="BL57">
        <v>406.51900000000001</v>
      </c>
      <c r="BM57">
        <v>385.39299999999997</v>
      </c>
      <c r="BN57">
        <v>26.93</v>
      </c>
      <c r="BO57">
        <v>385.39299999999997</v>
      </c>
      <c r="BP57">
        <v>440.44900000000001</v>
      </c>
      <c r="BQ57">
        <v>937.57399999999996</v>
      </c>
      <c r="BR57">
        <v>935.95500000000004</v>
      </c>
      <c r="BS57">
        <v>13.353</v>
      </c>
      <c r="BT57">
        <v>935.95500000000004</v>
      </c>
      <c r="BU57">
        <v>1046.067</v>
      </c>
      <c r="BV57">
        <v>3873.953</v>
      </c>
      <c r="BW57">
        <v>3908.989</v>
      </c>
      <c r="BX57">
        <v>218.98400000000001</v>
      </c>
      <c r="BY57">
        <v>2862.9209999999998</v>
      </c>
      <c r="BZ57">
        <v>4239.326</v>
      </c>
      <c r="CA57">
        <v>1.62</v>
      </c>
      <c r="CB57">
        <v>6</v>
      </c>
      <c r="CC57">
        <v>2</v>
      </c>
      <c r="CD57">
        <v>1</v>
      </c>
      <c r="CE57">
        <v>2</v>
      </c>
      <c r="CF57">
        <v>5</v>
      </c>
    </row>
    <row r="58" spans="1:84" x14ac:dyDescent="0.35">
      <c r="A58" t="s">
        <v>271</v>
      </c>
      <c r="B58" t="str">
        <f>_xlfn.TEXTBEFORE(_xlfn.TEXTAFTER(A58,"-"),"_ONLY_VOWELS")</f>
        <v xml:space="preserve"> el_sp_2000_08_09_356</v>
      </c>
      <c r="C58" s="1">
        <f t="shared" si="3"/>
        <v>45789</v>
      </c>
      <c r="D58" t="s">
        <v>78</v>
      </c>
      <c r="E58">
        <v>131.17500000000001</v>
      </c>
      <c r="F58">
        <v>130.75</v>
      </c>
      <c r="G58">
        <v>5.0609999999999999</v>
      </c>
      <c r="H58">
        <v>124.026</v>
      </c>
      <c r="I58">
        <v>0.23291666666666669</v>
      </c>
      <c r="J58">
        <v>147.63300000000001</v>
      </c>
      <c r="K58">
        <v>2.7500000000000004E-2</v>
      </c>
      <c r="L58">
        <v>0.90700000000000003</v>
      </c>
      <c r="M58">
        <v>-20.722000000000001</v>
      </c>
      <c r="N58">
        <v>504.36700000000002</v>
      </c>
      <c r="O58">
        <v>431.447</v>
      </c>
      <c r="P58">
        <v>158.44999999999999</v>
      </c>
      <c r="Q58">
        <v>308.17599999999999</v>
      </c>
      <c r="R58">
        <v>862.89300000000003</v>
      </c>
      <c r="S58">
        <v>1219.008</v>
      </c>
      <c r="T58">
        <v>1171.069</v>
      </c>
      <c r="U58">
        <v>109.83</v>
      </c>
      <c r="V58">
        <v>1078.616</v>
      </c>
      <c r="W58">
        <v>1510.0630000000001</v>
      </c>
      <c r="X58">
        <v>3163.2379999999998</v>
      </c>
      <c r="Y58">
        <v>3266.6669999999999</v>
      </c>
      <c r="Z58">
        <v>280.73200000000003</v>
      </c>
      <c r="AA58">
        <v>2496.2260000000001</v>
      </c>
      <c r="AB58">
        <v>3698.1129999999998</v>
      </c>
      <c r="AC58">
        <v>2.4</v>
      </c>
      <c r="AD58">
        <v>261.238</v>
      </c>
      <c r="AE58">
        <v>268.202</v>
      </c>
      <c r="AF58">
        <v>38.67</v>
      </c>
      <c r="AG58">
        <v>123.628</v>
      </c>
      <c r="AH58">
        <v>0.89252336448598124</v>
      </c>
      <c r="AI58">
        <v>324.947</v>
      </c>
      <c r="AJ58">
        <v>0.91495327102803736</v>
      </c>
      <c r="AK58">
        <v>3.8559999999999999</v>
      </c>
      <c r="AL58">
        <v>-11.786</v>
      </c>
      <c r="AM58">
        <v>311.88099999999997</v>
      </c>
      <c r="AN58">
        <v>311.88099999999997</v>
      </c>
      <c r="AO58">
        <v>0</v>
      </c>
      <c r="AP58">
        <v>311.88099999999997</v>
      </c>
      <c r="AQ58">
        <v>311.88099999999997</v>
      </c>
      <c r="AR58">
        <v>1458.5550000000001</v>
      </c>
      <c r="AS58">
        <v>1434.653</v>
      </c>
      <c r="AT58">
        <v>74.52</v>
      </c>
      <c r="AU58">
        <v>1309.9010000000001</v>
      </c>
      <c r="AV58">
        <v>1621.7819999999999</v>
      </c>
      <c r="AW58">
        <v>3871.6120000000001</v>
      </c>
      <c r="AX58">
        <v>3867.3270000000002</v>
      </c>
      <c r="AY58">
        <v>188.434</v>
      </c>
      <c r="AZ58">
        <v>3555.4459999999999</v>
      </c>
      <c r="BA58">
        <v>4553.4650000000001</v>
      </c>
      <c r="BB58">
        <v>2.14</v>
      </c>
      <c r="BC58">
        <v>152.85300000000001</v>
      </c>
      <c r="BD58">
        <v>141.023</v>
      </c>
      <c r="BE58">
        <v>51.375999999999998</v>
      </c>
      <c r="BF58">
        <v>90</v>
      </c>
      <c r="BG58">
        <v>0.91633333333333333</v>
      </c>
      <c r="BH58">
        <v>361.47500000000002</v>
      </c>
      <c r="BI58">
        <v>0.9</v>
      </c>
      <c r="BJ58">
        <v>6.694</v>
      </c>
      <c r="BK58">
        <v>-21.841000000000001</v>
      </c>
      <c r="BL58">
        <v>370.459</v>
      </c>
      <c r="BM58">
        <v>331.57900000000001</v>
      </c>
      <c r="BN58">
        <v>99.122</v>
      </c>
      <c r="BO58">
        <v>290.13200000000001</v>
      </c>
      <c r="BP58">
        <v>953.28899999999999</v>
      </c>
      <c r="BQ58">
        <v>1272.384</v>
      </c>
      <c r="BR58">
        <v>1243.421</v>
      </c>
      <c r="BS58">
        <v>127.46</v>
      </c>
      <c r="BT58">
        <v>1036.184</v>
      </c>
      <c r="BU58">
        <v>1575</v>
      </c>
      <c r="BV58">
        <v>3775.4169999999999</v>
      </c>
      <c r="BW58">
        <v>3813.1579999999999</v>
      </c>
      <c r="BX58">
        <v>148.68600000000001</v>
      </c>
      <c r="BY58">
        <v>3150</v>
      </c>
      <c r="BZ58">
        <v>4061.8420000000001</v>
      </c>
      <c r="CA58">
        <v>3</v>
      </c>
      <c r="CB58">
        <v>3</v>
      </c>
      <c r="CC58">
        <v>3</v>
      </c>
      <c r="CD58">
        <v>1</v>
      </c>
      <c r="CE58">
        <v>3</v>
      </c>
      <c r="CF58">
        <v>4</v>
      </c>
    </row>
    <row r="59" spans="1:84" x14ac:dyDescent="0.35">
      <c r="A59" t="s">
        <v>327</v>
      </c>
      <c r="B59" t="str">
        <f t="shared" ref="B59:B90" si="5">_xlfn.TEXTAFTER(A59,"-")</f>
        <v xml:space="preserve"> el_sp_2004_08_03_826</v>
      </c>
      <c r="C59" s="1">
        <f t="shared" si="3"/>
        <v>45761</v>
      </c>
      <c r="D59" t="s">
        <v>78</v>
      </c>
      <c r="E59">
        <v>269.68</v>
      </c>
      <c r="F59">
        <v>269.84300000000002</v>
      </c>
      <c r="G59">
        <v>1.6919999999999999</v>
      </c>
      <c r="H59">
        <v>262.05399999999997</v>
      </c>
      <c r="I59">
        <v>4.0983606557377043E-3</v>
      </c>
      <c r="J59">
        <v>277.358</v>
      </c>
      <c r="K59">
        <v>0</v>
      </c>
      <c r="L59">
        <v>0.308</v>
      </c>
      <c r="M59">
        <v>-31.2</v>
      </c>
      <c r="N59">
        <v>636.29999999999995</v>
      </c>
      <c r="O59">
        <v>659.19299999999998</v>
      </c>
      <c r="P59">
        <v>63.113999999999997</v>
      </c>
      <c r="Q59">
        <v>329.596</v>
      </c>
      <c r="R59">
        <v>791.03099999999995</v>
      </c>
      <c r="S59">
        <v>1159.127</v>
      </c>
      <c r="T59">
        <v>1186.547</v>
      </c>
      <c r="U59">
        <v>51.707000000000001</v>
      </c>
      <c r="V59">
        <v>1054.7090000000001</v>
      </c>
      <c r="W59">
        <v>1516.143</v>
      </c>
      <c r="X59">
        <v>2905.413</v>
      </c>
      <c r="Y59">
        <v>2900.4479999999999</v>
      </c>
      <c r="Z59">
        <v>180.20599999999999</v>
      </c>
      <c r="AA59">
        <v>2570.8519999999999</v>
      </c>
      <c r="AB59">
        <v>3757.3989999999999</v>
      </c>
      <c r="AC59">
        <v>3.66</v>
      </c>
      <c r="AD59">
        <v>274.01299999999998</v>
      </c>
      <c r="AE59">
        <v>273.67</v>
      </c>
      <c r="AF59">
        <v>3.2389999999999999</v>
      </c>
      <c r="AG59">
        <v>269.60700000000003</v>
      </c>
      <c r="AH59">
        <v>6.3492063492063489E-2</v>
      </c>
      <c r="AI59">
        <v>307.16399999999999</v>
      </c>
      <c r="AJ59">
        <v>0</v>
      </c>
      <c r="AK59">
        <v>0.26600000000000001</v>
      </c>
      <c r="AL59">
        <v>-31.46</v>
      </c>
      <c r="AM59">
        <v>343.38400000000001</v>
      </c>
      <c r="AN59">
        <v>335.10599999999999</v>
      </c>
      <c r="AO59">
        <v>30.321999999999999</v>
      </c>
      <c r="AP59">
        <v>335.10599999999999</v>
      </c>
      <c r="AQ59">
        <v>603.19100000000003</v>
      </c>
      <c r="AR59">
        <v>1786.41</v>
      </c>
      <c r="AS59">
        <v>1742.5530000000001</v>
      </c>
      <c r="AT59">
        <v>205.922</v>
      </c>
      <c r="AU59">
        <v>1474.4680000000001</v>
      </c>
      <c r="AV59">
        <v>2479.7869999999998</v>
      </c>
      <c r="AW59">
        <v>3357.4720000000002</v>
      </c>
      <c r="AX59">
        <v>3351.0639999999999</v>
      </c>
      <c r="AY59">
        <v>158.92400000000001</v>
      </c>
      <c r="AZ59">
        <v>2881.915</v>
      </c>
      <c r="BA59">
        <v>3753.1909999999998</v>
      </c>
      <c r="BB59">
        <v>3.78</v>
      </c>
      <c r="BC59">
        <v>274.56099999999998</v>
      </c>
      <c r="BD59">
        <v>274.15600000000001</v>
      </c>
      <c r="BE59">
        <v>2.1659999999999999</v>
      </c>
      <c r="BF59">
        <v>271.98200000000003</v>
      </c>
      <c r="BG59">
        <v>0.28723404255319152</v>
      </c>
      <c r="BH59">
        <v>284.779</v>
      </c>
      <c r="BI59">
        <v>1.5957446808510637E-2</v>
      </c>
      <c r="BJ59">
        <v>0.22</v>
      </c>
      <c r="BK59">
        <v>-33.494999999999997</v>
      </c>
      <c r="BL59">
        <v>366.64600000000002</v>
      </c>
      <c r="BM59">
        <v>335.10599999999999</v>
      </c>
      <c r="BN59">
        <v>33.542000000000002</v>
      </c>
      <c r="BO59">
        <v>335.10599999999999</v>
      </c>
      <c r="BP59">
        <v>402.12799999999999</v>
      </c>
      <c r="BQ59">
        <v>1099.9369999999999</v>
      </c>
      <c r="BR59">
        <v>1072.3399999999999</v>
      </c>
      <c r="BS59">
        <v>75.152000000000001</v>
      </c>
      <c r="BT59">
        <v>1005.319</v>
      </c>
      <c r="BU59">
        <v>1340.4259999999999</v>
      </c>
      <c r="BV59">
        <v>3667.8919999999998</v>
      </c>
      <c r="BW59">
        <v>3686.17</v>
      </c>
      <c r="BX59">
        <v>182.23099999999999</v>
      </c>
      <c r="BY59">
        <v>3082.9789999999998</v>
      </c>
      <c r="BZ59">
        <v>4021.277</v>
      </c>
      <c r="CA59">
        <v>2.82</v>
      </c>
      <c r="CB59">
        <v>7</v>
      </c>
      <c r="CC59">
        <v>4</v>
      </c>
      <c r="CD59">
        <v>0</v>
      </c>
      <c r="CE59">
        <v>4</v>
      </c>
      <c r="CF59">
        <v>4</v>
      </c>
    </row>
    <row r="60" spans="1:84" x14ac:dyDescent="0.35">
      <c r="A60" t="s">
        <v>328</v>
      </c>
      <c r="B60" t="str">
        <f t="shared" si="5"/>
        <v xml:space="preserve"> em_di_2000_04_26_182</v>
      </c>
      <c r="C60" s="1">
        <f t="shared" si="3"/>
        <v>45761</v>
      </c>
      <c r="D60" t="s">
        <v>78</v>
      </c>
      <c r="E60">
        <v>179.33199999999999</v>
      </c>
      <c r="F60">
        <v>179.06</v>
      </c>
      <c r="G60">
        <v>2.16</v>
      </c>
      <c r="H60">
        <v>175.697</v>
      </c>
      <c r="I60">
        <v>0.98571428571428565</v>
      </c>
      <c r="J60">
        <v>190.203</v>
      </c>
      <c r="K60">
        <v>0</v>
      </c>
      <c r="L60">
        <v>0.496</v>
      </c>
      <c r="M60">
        <v>-21.411999999999999</v>
      </c>
      <c r="N60">
        <v>802.11199999999997</v>
      </c>
      <c r="O60">
        <v>804.899</v>
      </c>
      <c r="P60">
        <v>43.936</v>
      </c>
      <c r="Q60">
        <v>720.173</v>
      </c>
      <c r="R60">
        <v>889.625</v>
      </c>
      <c r="S60">
        <v>1069.6690000000001</v>
      </c>
      <c r="T60">
        <v>1059.078</v>
      </c>
      <c r="U60">
        <v>23.074000000000002</v>
      </c>
      <c r="V60">
        <v>1016.715</v>
      </c>
      <c r="W60">
        <v>1101.441</v>
      </c>
      <c r="X60">
        <v>2444.2399999999998</v>
      </c>
      <c r="Y60">
        <v>2435.8789999999999</v>
      </c>
      <c r="Z60">
        <v>62.651000000000003</v>
      </c>
      <c r="AA60">
        <v>2287.6080000000002</v>
      </c>
      <c r="AB60">
        <v>2584.15</v>
      </c>
      <c r="AC60">
        <v>1.82</v>
      </c>
      <c r="AD60">
        <v>188.499</v>
      </c>
      <c r="AE60">
        <v>185.57300000000001</v>
      </c>
      <c r="AF60">
        <v>7.2009999999999996</v>
      </c>
      <c r="AG60">
        <v>174.703</v>
      </c>
      <c r="AH60">
        <v>0.98548387096774182</v>
      </c>
      <c r="AI60">
        <v>219.40299999999999</v>
      </c>
      <c r="AJ60">
        <v>0</v>
      </c>
      <c r="AK60">
        <v>0.55600000000000005</v>
      </c>
      <c r="AL60">
        <v>-31.099</v>
      </c>
      <c r="AM60">
        <v>357.80900000000003</v>
      </c>
      <c r="AN60">
        <v>357.80900000000003</v>
      </c>
      <c r="AO60">
        <v>36.518999999999998</v>
      </c>
      <c r="AP60">
        <v>313.08300000000003</v>
      </c>
      <c r="AQ60">
        <v>402.53500000000003</v>
      </c>
      <c r="AR60">
        <v>2428.8490000000002</v>
      </c>
      <c r="AS60">
        <v>2415.2130000000002</v>
      </c>
      <c r="AT60">
        <v>71.564999999999998</v>
      </c>
      <c r="AU60">
        <v>2236.308</v>
      </c>
      <c r="AV60">
        <v>2549.3910000000001</v>
      </c>
      <c r="AW60">
        <v>2812.84</v>
      </c>
      <c r="AX60">
        <v>2817.748</v>
      </c>
      <c r="AY60">
        <v>93.766999999999996</v>
      </c>
      <c r="AZ60">
        <v>2638.8440000000001</v>
      </c>
      <c r="BA60">
        <v>2996.6529999999998</v>
      </c>
      <c r="BB60">
        <v>1.86</v>
      </c>
      <c r="BC60">
        <v>183.87200000000001</v>
      </c>
      <c r="BD60">
        <v>182.017</v>
      </c>
      <c r="BE60">
        <v>10.141999999999999</v>
      </c>
      <c r="BF60">
        <v>119.605</v>
      </c>
      <c r="BG60">
        <v>0</v>
      </c>
      <c r="BH60">
        <v>209.14599999999999</v>
      </c>
      <c r="BI60">
        <v>2.5543478260869563E-2</v>
      </c>
      <c r="BJ60">
        <v>1.2769999999999999</v>
      </c>
      <c r="BK60">
        <v>-30.016999999999999</v>
      </c>
      <c r="BL60">
        <v>356.339</v>
      </c>
      <c r="BM60">
        <v>348.61700000000002</v>
      </c>
      <c r="BN60">
        <v>18.141999999999999</v>
      </c>
      <c r="BO60">
        <v>348.61700000000002</v>
      </c>
      <c r="BP60">
        <v>435.77100000000002</v>
      </c>
      <c r="BQ60">
        <v>1246.1510000000001</v>
      </c>
      <c r="BR60">
        <v>1220.1579999999999</v>
      </c>
      <c r="BS60">
        <v>129.39099999999999</v>
      </c>
      <c r="BT60">
        <v>1045.8499999999999</v>
      </c>
      <c r="BU60">
        <v>1655.9290000000001</v>
      </c>
      <c r="BV60">
        <v>2644.4110000000001</v>
      </c>
      <c r="BW60">
        <v>2658.2020000000002</v>
      </c>
      <c r="BX60">
        <v>115.19799999999999</v>
      </c>
      <c r="BY60">
        <v>2440.3159999999998</v>
      </c>
      <c r="BZ60">
        <v>3006.8180000000002</v>
      </c>
      <c r="CA60">
        <v>1.84</v>
      </c>
      <c r="CB60">
        <v>5</v>
      </c>
      <c r="CC60">
        <v>1</v>
      </c>
      <c r="CD60">
        <v>0</v>
      </c>
      <c r="CE60">
        <v>2</v>
      </c>
      <c r="CF60">
        <v>1</v>
      </c>
    </row>
    <row r="61" spans="1:84" x14ac:dyDescent="0.35">
      <c r="A61" t="s">
        <v>329</v>
      </c>
      <c r="B61" t="str">
        <f t="shared" si="5"/>
        <v xml:space="preserve"> ev_tu_2004_10_06_265</v>
      </c>
      <c r="C61" s="1">
        <f t="shared" si="3"/>
        <v>45761</v>
      </c>
      <c r="D61" t="s">
        <v>78</v>
      </c>
      <c r="E61">
        <v>190.21700000000001</v>
      </c>
      <c r="F61">
        <v>188.11699999999999</v>
      </c>
      <c r="G61">
        <v>12.319000000000001</v>
      </c>
      <c r="H61">
        <v>183.422</v>
      </c>
      <c r="I61">
        <v>0.96333333333333337</v>
      </c>
      <c r="J61">
        <v>284.779</v>
      </c>
      <c r="K61">
        <v>0</v>
      </c>
      <c r="L61">
        <v>0.66300000000000003</v>
      </c>
      <c r="M61">
        <v>-28.475999999999999</v>
      </c>
      <c r="N61">
        <v>625.23400000000004</v>
      </c>
      <c r="O61">
        <v>597.18799999999999</v>
      </c>
      <c r="P61">
        <v>109.345</v>
      </c>
      <c r="Q61">
        <v>459.375</v>
      </c>
      <c r="R61">
        <v>1102.5</v>
      </c>
      <c r="S61">
        <v>1205.0129999999999</v>
      </c>
      <c r="T61">
        <v>1194.375</v>
      </c>
      <c r="U61">
        <v>61.212000000000003</v>
      </c>
      <c r="V61">
        <v>1102.5</v>
      </c>
      <c r="W61">
        <v>1332.1880000000001</v>
      </c>
      <c r="X61">
        <v>2616.5030000000002</v>
      </c>
      <c r="Y61">
        <v>2618.4380000000001</v>
      </c>
      <c r="Z61">
        <v>163.16</v>
      </c>
      <c r="AA61">
        <v>2342.8130000000001</v>
      </c>
      <c r="AB61">
        <v>3399.375</v>
      </c>
      <c r="AC61">
        <v>2.1</v>
      </c>
      <c r="AD61">
        <v>193.48500000000001</v>
      </c>
      <c r="AE61">
        <v>192.33600000000001</v>
      </c>
      <c r="AF61">
        <v>6.4169999999999998</v>
      </c>
      <c r="AG61">
        <v>185.62799999999999</v>
      </c>
      <c r="AH61">
        <v>0.97368421052631593</v>
      </c>
      <c r="AI61">
        <v>242.68899999999999</v>
      </c>
      <c r="AJ61">
        <v>1.1578947368421053E-2</v>
      </c>
      <c r="AK61">
        <v>0.66700000000000004</v>
      </c>
      <c r="AL61">
        <v>-29.427</v>
      </c>
      <c r="AM61">
        <v>335.851</v>
      </c>
      <c r="AN61">
        <v>325.29000000000002</v>
      </c>
      <c r="AO61">
        <v>71.474999999999994</v>
      </c>
      <c r="AP61">
        <v>278.82</v>
      </c>
      <c r="AQ61">
        <v>789.98900000000003</v>
      </c>
      <c r="AR61">
        <v>2437.0920000000001</v>
      </c>
      <c r="AS61">
        <v>2462.9079999999999</v>
      </c>
      <c r="AT61">
        <v>158.952</v>
      </c>
      <c r="AU61">
        <v>1672.9190000000001</v>
      </c>
      <c r="AV61">
        <v>2602.3180000000002</v>
      </c>
      <c r="AW61">
        <v>3396.047</v>
      </c>
      <c r="AX61">
        <v>3392.308</v>
      </c>
      <c r="AY61">
        <v>163.48699999999999</v>
      </c>
      <c r="AZ61">
        <v>2741.7280000000001</v>
      </c>
      <c r="BA61">
        <v>3764.067</v>
      </c>
      <c r="BB61">
        <v>1.9</v>
      </c>
      <c r="BC61">
        <v>191.66</v>
      </c>
      <c r="BD61">
        <v>190.90899999999999</v>
      </c>
      <c r="BE61">
        <v>3.4750000000000001</v>
      </c>
      <c r="BF61">
        <v>186.30099999999999</v>
      </c>
      <c r="BG61">
        <v>0.44242424242424244</v>
      </c>
      <c r="BH61">
        <v>211.29400000000001</v>
      </c>
      <c r="BI61">
        <v>0</v>
      </c>
      <c r="BJ61">
        <v>0.434</v>
      </c>
      <c r="BK61">
        <v>-30.526</v>
      </c>
      <c r="BL61">
        <v>371.68900000000002</v>
      </c>
      <c r="BM61">
        <v>369.03800000000001</v>
      </c>
      <c r="BN61">
        <v>30.14</v>
      </c>
      <c r="BO61">
        <v>322.90800000000002</v>
      </c>
      <c r="BP61">
        <v>645.81600000000003</v>
      </c>
      <c r="BQ61">
        <v>1268.567</v>
      </c>
      <c r="BR61">
        <v>1222.4369999999999</v>
      </c>
      <c r="BS61">
        <v>283.113</v>
      </c>
      <c r="BT61">
        <v>1014.854</v>
      </c>
      <c r="BU61">
        <v>1614.54</v>
      </c>
      <c r="BV61">
        <v>3240.8679999999999</v>
      </c>
      <c r="BW61">
        <v>3229.0790000000002</v>
      </c>
      <c r="BX61">
        <v>101.292</v>
      </c>
      <c r="BY61">
        <v>2813.9119999999998</v>
      </c>
      <c r="BZ61">
        <v>3505.8580000000002</v>
      </c>
      <c r="CA61">
        <v>1.98</v>
      </c>
      <c r="CB61">
        <v>8</v>
      </c>
      <c r="CC61">
        <v>3</v>
      </c>
      <c r="CD61">
        <v>0</v>
      </c>
      <c r="CE61">
        <v>5</v>
      </c>
      <c r="CF61">
        <v>4</v>
      </c>
    </row>
    <row r="62" spans="1:84" x14ac:dyDescent="0.35">
      <c r="A62" t="s">
        <v>330</v>
      </c>
      <c r="B62" t="str">
        <f t="shared" si="5"/>
        <v xml:space="preserve"> fa_ca_2001_08_09_201</v>
      </c>
      <c r="C62" s="1">
        <f t="shared" si="3"/>
        <v>45761</v>
      </c>
      <c r="D62" t="s">
        <v>78</v>
      </c>
      <c r="E62">
        <v>150.488</v>
      </c>
      <c r="F62">
        <v>147.501</v>
      </c>
      <c r="G62">
        <v>8.9019999999999992</v>
      </c>
      <c r="H62">
        <v>140.446</v>
      </c>
      <c r="I62">
        <v>0.47666666666666663</v>
      </c>
      <c r="J62">
        <v>171.215</v>
      </c>
      <c r="K62">
        <v>6.6666666666666666E-2</v>
      </c>
      <c r="L62">
        <v>4.1840000000000002</v>
      </c>
      <c r="M62">
        <v>-13.202</v>
      </c>
      <c r="N62">
        <v>692.56500000000005</v>
      </c>
      <c r="O62">
        <v>648.529</v>
      </c>
      <c r="P62">
        <v>113.61799999999999</v>
      </c>
      <c r="Q62">
        <v>612.5</v>
      </c>
      <c r="R62">
        <v>972.79399999999998</v>
      </c>
      <c r="S62">
        <v>1192.5740000000001</v>
      </c>
      <c r="T62">
        <v>1188.971</v>
      </c>
      <c r="U62">
        <v>108.021</v>
      </c>
      <c r="V62">
        <v>1080.8820000000001</v>
      </c>
      <c r="W62">
        <v>1441.1759999999999</v>
      </c>
      <c r="X62">
        <v>2903.971</v>
      </c>
      <c r="Y62">
        <v>2900.3679999999999</v>
      </c>
      <c r="Z62">
        <v>129.572</v>
      </c>
      <c r="AA62">
        <v>2702.2060000000001</v>
      </c>
      <c r="AB62">
        <v>3062.5</v>
      </c>
      <c r="AC62">
        <v>0.3</v>
      </c>
      <c r="AD62">
        <v>164.93299999999999</v>
      </c>
      <c r="AE62">
        <v>150.732</v>
      </c>
      <c r="AF62">
        <v>36.151000000000003</v>
      </c>
      <c r="AG62">
        <v>139.68299999999999</v>
      </c>
      <c r="AH62">
        <v>0.43928571428571422</v>
      </c>
      <c r="AI62">
        <v>250.976</v>
      </c>
      <c r="AJ62">
        <v>0.87499999999999989</v>
      </c>
      <c r="AK62">
        <v>10.284000000000001</v>
      </c>
      <c r="AL62">
        <v>-10.715999999999999</v>
      </c>
      <c r="AM62">
        <v>314.15499999999997</v>
      </c>
      <c r="AN62">
        <v>330.47500000000002</v>
      </c>
      <c r="AO62">
        <v>19.353000000000002</v>
      </c>
      <c r="AP62">
        <v>293.755</v>
      </c>
      <c r="AQ62">
        <v>330.47500000000002</v>
      </c>
      <c r="AR62">
        <v>2478.56</v>
      </c>
      <c r="AS62">
        <v>2478.56</v>
      </c>
      <c r="AT62">
        <v>21.2</v>
      </c>
      <c r="AU62">
        <v>2460.1999999999998</v>
      </c>
      <c r="AV62">
        <v>2496.9189999999999</v>
      </c>
      <c r="AW62">
        <v>3219.067</v>
      </c>
      <c r="AX62">
        <v>3194.5880000000002</v>
      </c>
      <c r="AY62">
        <v>123.161</v>
      </c>
      <c r="AZ62">
        <v>3047.71</v>
      </c>
      <c r="BA62">
        <v>3414.904</v>
      </c>
      <c r="BB62">
        <v>0.28000000000000003</v>
      </c>
      <c r="BC62">
        <v>203.15100000000001</v>
      </c>
      <c r="BD62">
        <v>187.774</v>
      </c>
      <c r="BE62">
        <v>43.302</v>
      </c>
      <c r="BF62">
        <v>157.822</v>
      </c>
      <c r="BG62">
        <v>0.2</v>
      </c>
      <c r="BH62">
        <v>276.36500000000001</v>
      </c>
      <c r="BI62">
        <v>0.86176470588235288</v>
      </c>
      <c r="BJ62">
        <v>5.7030000000000003</v>
      </c>
      <c r="BK62">
        <v>-17.11</v>
      </c>
      <c r="BL62">
        <v>373.66699999999997</v>
      </c>
      <c r="BM62">
        <v>380.99400000000003</v>
      </c>
      <c r="BN62">
        <v>54.46</v>
      </c>
      <c r="BO62">
        <v>333.36900000000003</v>
      </c>
      <c r="BP62">
        <v>523.86599999999999</v>
      </c>
      <c r="BQ62">
        <v>1307.019</v>
      </c>
      <c r="BR62">
        <v>1238.229</v>
      </c>
      <c r="BS62">
        <v>235.86099999999999</v>
      </c>
      <c r="BT62">
        <v>1095.356</v>
      </c>
      <c r="BU62">
        <v>1809.7190000000001</v>
      </c>
      <c r="BV62">
        <v>3120.9720000000002</v>
      </c>
      <c r="BW62">
        <v>3095.5720000000001</v>
      </c>
      <c r="BX62">
        <v>273.50099999999998</v>
      </c>
      <c r="BY62">
        <v>2666.9549999999999</v>
      </c>
      <c r="BZ62">
        <v>3476.5659999999998</v>
      </c>
      <c r="CA62">
        <v>0.34</v>
      </c>
      <c r="CB62">
        <v>3</v>
      </c>
      <c r="CC62">
        <v>2</v>
      </c>
      <c r="CD62">
        <v>2</v>
      </c>
      <c r="CE62">
        <v>1</v>
      </c>
      <c r="CF62">
        <v>0</v>
      </c>
    </row>
    <row r="63" spans="1:84" x14ac:dyDescent="0.35">
      <c r="A63" t="s">
        <v>331</v>
      </c>
      <c r="B63" t="str">
        <f t="shared" si="5"/>
        <v xml:space="preserve"> fe_gi_1999_08_28_709</v>
      </c>
      <c r="C63" s="1">
        <f t="shared" si="3"/>
        <v>45761</v>
      </c>
      <c r="D63" t="s">
        <v>78</v>
      </c>
      <c r="E63">
        <v>156.73699999999999</v>
      </c>
      <c r="F63">
        <v>154.35</v>
      </c>
      <c r="G63">
        <v>12.09</v>
      </c>
      <c r="H63">
        <v>148.77099999999999</v>
      </c>
      <c r="I63">
        <v>9.8666666666666666E-2</v>
      </c>
      <c r="J63">
        <v>245.39</v>
      </c>
      <c r="K63">
        <v>8.9999999999999993E-3</v>
      </c>
      <c r="L63">
        <v>1.0649999999999999</v>
      </c>
      <c r="M63">
        <v>-19.283000000000001</v>
      </c>
      <c r="N63">
        <v>589.18499999999995</v>
      </c>
      <c r="O63">
        <v>598.98099999999999</v>
      </c>
      <c r="P63">
        <v>65.518000000000001</v>
      </c>
      <c r="Q63">
        <v>486.67200000000003</v>
      </c>
      <c r="R63">
        <v>973.34500000000003</v>
      </c>
      <c r="S63">
        <v>1178.8979999999999</v>
      </c>
      <c r="T63">
        <v>1160.5260000000001</v>
      </c>
      <c r="U63">
        <v>60.881999999999998</v>
      </c>
      <c r="V63">
        <v>1085.654</v>
      </c>
      <c r="W63">
        <v>1385.144</v>
      </c>
      <c r="X63">
        <v>3786.4659999999999</v>
      </c>
      <c r="Y63">
        <v>3818.5059999999999</v>
      </c>
      <c r="Z63">
        <v>248.93199999999999</v>
      </c>
      <c r="AA63">
        <v>2770.2890000000002</v>
      </c>
      <c r="AB63">
        <v>4380.0510000000004</v>
      </c>
      <c r="AC63">
        <v>3</v>
      </c>
      <c r="AD63">
        <v>158.541</v>
      </c>
      <c r="AE63">
        <v>157.13900000000001</v>
      </c>
      <c r="AF63">
        <v>4.4640000000000004</v>
      </c>
      <c r="AG63">
        <v>153.81200000000001</v>
      </c>
      <c r="AH63">
        <v>0.9795620437956204</v>
      </c>
      <c r="AI63">
        <v>190.90899999999999</v>
      </c>
      <c r="AJ63">
        <v>0</v>
      </c>
      <c r="AK63">
        <v>0.56000000000000005</v>
      </c>
      <c r="AL63">
        <v>-21.792000000000002</v>
      </c>
      <c r="AM63">
        <v>302.49900000000002</v>
      </c>
      <c r="AN63">
        <v>301.024</v>
      </c>
      <c r="AO63">
        <v>11.747</v>
      </c>
      <c r="AP63">
        <v>301.024</v>
      </c>
      <c r="AQ63">
        <v>413.90800000000002</v>
      </c>
      <c r="AR63">
        <v>2435.125</v>
      </c>
      <c r="AS63">
        <v>2445.819</v>
      </c>
      <c r="AT63">
        <v>71.069000000000003</v>
      </c>
      <c r="AU63">
        <v>2257.6790000000001</v>
      </c>
      <c r="AV63">
        <v>2596.3310000000001</v>
      </c>
      <c r="AW63">
        <v>3745.0909999999999</v>
      </c>
      <c r="AX63">
        <v>3762.799</v>
      </c>
      <c r="AY63">
        <v>137.43600000000001</v>
      </c>
      <c r="AZ63">
        <v>3386.5189999999998</v>
      </c>
      <c r="BA63">
        <v>4139.0780000000004</v>
      </c>
      <c r="BB63">
        <v>2.74</v>
      </c>
      <c r="BC63">
        <v>174.39599999999999</v>
      </c>
      <c r="BD63">
        <v>160.86500000000001</v>
      </c>
      <c r="BE63">
        <v>48.02</v>
      </c>
      <c r="BF63">
        <v>147.63300000000001</v>
      </c>
      <c r="BG63">
        <v>0.49189189189189186</v>
      </c>
      <c r="BH63">
        <v>358.53699999999998</v>
      </c>
      <c r="BI63">
        <v>1.1261261261261261E-2</v>
      </c>
      <c r="BJ63">
        <v>2.54</v>
      </c>
      <c r="BK63">
        <v>-21.515000000000001</v>
      </c>
      <c r="BL63">
        <v>371.4</v>
      </c>
      <c r="BM63">
        <v>366.82100000000003</v>
      </c>
      <c r="BN63">
        <v>30.375</v>
      </c>
      <c r="BO63">
        <v>326.06299999999999</v>
      </c>
      <c r="BP63">
        <v>611.36800000000005</v>
      </c>
      <c r="BQ63">
        <v>1102.2339999999999</v>
      </c>
      <c r="BR63">
        <v>1059.704</v>
      </c>
      <c r="BS63">
        <v>109.557</v>
      </c>
      <c r="BT63">
        <v>1018.946</v>
      </c>
      <c r="BU63">
        <v>1467.2829999999999</v>
      </c>
      <c r="BV63">
        <v>3699.806</v>
      </c>
      <c r="BW63">
        <v>3749.723</v>
      </c>
      <c r="BX63">
        <v>383.02100000000002</v>
      </c>
      <c r="BY63">
        <v>2812.2919999999999</v>
      </c>
      <c r="BZ63">
        <v>4401.848</v>
      </c>
      <c r="CA63">
        <v>2.2200000000000002</v>
      </c>
      <c r="CB63">
        <v>5</v>
      </c>
      <c r="CC63">
        <v>3</v>
      </c>
      <c r="CD63">
        <v>1</v>
      </c>
      <c r="CE63">
        <v>5</v>
      </c>
      <c r="CF63">
        <v>0</v>
      </c>
    </row>
    <row r="64" spans="1:84" x14ac:dyDescent="0.35">
      <c r="A64" t="s">
        <v>332</v>
      </c>
      <c r="B64" t="str">
        <f t="shared" si="5"/>
        <v xml:space="preserve"> fr_ba_2001_12_15_595</v>
      </c>
      <c r="C64" s="1">
        <f t="shared" si="3"/>
        <v>45761</v>
      </c>
      <c r="D64" t="s">
        <v>78</v>
      </c>
      <c r="E64">
        <v>203.566</v>
      </c>
      <c r="F64">
        <v>201.89699999999999</v>
      </c>
      <c r="G64">
        <v>12.901</v>
      </c>
      <c r="H64">
        <v>186.07599999999999</v>
      </c>
      <c r="I64">
        <v>0.97823529411764709</v>
      </c>
      <c r="J64">
        <v>283.99299999999999</v>
      </c>
      <c r="K64">
        <v>1.2352941176470589E-2</v>
      </c>
      <c r="L64">
        <v>0.97599999999999998</v>
      </c>
      <c r="M64">
        <v>-23.029</v>
      </c>
      <c r="N64">
        <v>607.58699999999999</v>
      </c>
      <c r="O64">
        <v>591.94600000000003</v>
      </c>
      <c r="P64">
        <v>48.331000000000003</v>
      </c>
      <c r="Q64">
        <v>443.96</v>
      </c>
      <c r="R64">
        <v>789.26199999999994</v>
      </c>
      <c r="S64">
        <v>1144.43</v>
      </c>
      <c r="T64">
        <v>1035.9059999999999</v>
      </c>
      <c r="U64">
        <v>221.70599999999999</v>
      </c>
      <c r="V64">
        <v>986.577</v>
      </c>
      <c r="W64">
        <v>1529.1949999999999</v>
      </c>
      <c r="X64">
        <v>2901.9810000000002</v>
      </c>
      <c r="Y64">
        <v>2861.0740000000001</v>
      </c>
      <c r="Z64">
        <v>178.24700000000001</v>
      </c>
      <c r="AA64">
        <v>2762.4160000000002</v>
      </c>
      <c r="AB64">
        <v>4390.268</v>
      </c>
      <c r="AC64">
        <v>1.7</v>
      </c>
      <c r="AD64">
        <v>199.09200000000001</v>
      </c>
      <c r="AE64">
        <v>200.78100000000001</v>
      </c>
      <c r="AF64">
        <v>14.962999999999999</v>
      </c>
      <c r="AG64">
        <v>99.644999999999996</v>
      </c>
      <c r="AH64">
        <v>0.97924528301886793</v>
      </c>
      <c r="AI64">
        <v>264.75099999999998</v>
      </c>
      <c r="AJ64">
        <v>1.9339622641509433E-2</v>
      </c>
      <c r="AK64">
        <v>3.7589999999999999</v>
      </c>
      <c r="AL64">
        <v>-24.794</v>
      </c>
      <c r="AM64">
        <v>339.38</v>
      </c>
      <c r="AN64">
        <v>340.35300000000001</v>
      </c>
      <c r="AO64">
        <v>6841</v>
      </c>
      <c r="AP64">
        <v>291.73099999999999</v>
      </c>
      <c r="AQ64">
        <v>340.35300000000001</v>
      </c>
      <c r="AR64">
        <v>2319.261</v>
      </c>
      <c r="AS64">
        <v>2431.0920000000001</v>
      </c>
      <c r="AT64">
        <v>303.25400000000002</v>
      </c>
      <c r="AU64">
        <v>1458.655</v>
      </c>
      <c r="AV64">
        <v>2431.0920000000001</v>
      </c>
      <c r="AW64">
        <v>3317.7249999999999</v>
      </c>
      <c r="AX64">
        <v>3306.2840000000001</v>
      </c>
      <c r="AY64">
        <v>168.87200000000001</v>
      </c>
      <c r="AZ64">
        <v>3063.1750000000002</v>
      </c>
      <c r="BA64">
        <v>3889.7460000000001</v>
      </c>
      <c r="BB64">
        <v>2.12</v>
      </c>
      <c r="BC64">
        <v>201.464</v>
      </c>
      <c r="BD64">
        <v>201.37</v>
      </c>
      <c r="BE64">
        <v>6.4950000000000001</v>
      </c>
      <c r="BF64">
        <v>189.27</v>
      </c>
      <c r="BG64">
        <v>0.98465909090909098</v>
      </c>
      <c r="BH64">
        <v>245.39</v>
      </c>
      <c r="BI64">
        <v>0</v>
      </c>
      <c r="BJ64">
        <v>0.93100000000000005</v>
      </c>
      <c r="BK64">
        <v>-21.356000000000002</v>
      </c>
      <c r="BL64">
        <v>377.18299999999999</v>
      </c>
      <c r="BM64">
        <v>387.69200000000001</v>
      </c>
      <c r="BN64">
        <v>33.031999999999996</v>
      </c>
      <c r="BO64">
        <v>339.23099999999999</v>
      </c>
      <c r="BP64">
        <v>581.53800000000001</v>
      </c>
      <c r="BQ64">
        <v>1080</v>
      </c>
      <c r="BR64">
        <v>1017.692</v>
      </c>
      <c r="BS64">
        <v>198.71799999999999</v>
      </c>
      <c r="BT64">
        <v>969.23099999999999</v>
      </c>
      <c r="BU64">
        <v>1938.462</v>
      </c>
      <c r="BV64">
        <v>3463.2689999999998</v>
      </c>
      <c r="BW64">
        <v>3440.7689999999998</v>
      </c>
      <c r="BX64">
        <v>296.30700000000002</v>
      </c>
      <c r="BY64">
        <v>2810.7689999999998</v>
      </c>
      <c r="BZ64">
        <v>4506.9229999999998</v>
      </c>
      <c r="CA64">
        <v>1.76</v>
      </c>
      <c r="CB64">
        <v>1</v>
      </c>
      <c r="CC64">
        <v>1</v>
      </c>
      <c r="CD64">
        <v>0</v>
      </c>
      <c r="CE64">
        <v>1</v>
      </c>
      <c r="CF64">
        <v>0</v>
      </c>
    </row>
    <row r="65" spans="1:84" x14ac:dyDescent="0.35">
      <c r="A65" t="s">
        <v>333</v>
      </c>
      <c r="B65" t="str">
        <f t="shared" si="5"/>
        <v xml:space="preserve"> fr_di_2002_05_11_518</v>
      </c>
      <c r="C65" s="1">
        <f t="shared" si="3"/>
        <v>45761</v>
      </c>
      <c r="D65" t="s">
        <v>78</v>
      </c>
      <c r="E65">
        <v>186.97800000000001</v>
      </c>
      <c r="F65">
        <v>188.232</v>
      </c>
      <c r="G65">
        <v>16.221</v>
      </c>
      <c r="H65">
        <v>94.692999999999998</v>
      </c>
      <c r="I65">
        <v>0.48531249999999998</v>
      </c>
      <c r="J65">
        <v>250.976</v>
      </c>
      <c r="K65">
        <v>6.2499999999999995E-3</v>
      </c>
      <c r="L65">
        <v>2.823</v>
      </c>
      <c r="M65">
        <v>-17.167000000000002</v>
      </c>
      <c r="N65">
        <v>771.13300000000004</v>
      </c>
      <c r="O65">
        <v>770.50400000000002</v>
      </c>
      <c r="P65">
        <v>59.923999999999999</v>
      </c>
      <c r="Q65">
        <v>543.88499999999999</v>
      </c>
      <c r="R65">
        <v>906.47500000000002</v>
      </c>
      <c r="S65">
        <v>1053.3989999999999</v>
      </c>
      <c r="T65">
        <v>1042.4459999999999</v>
      </c>
      <c r="U65">
        <v>76.158000000000001</v>
      </c>
      <c r="V65">
        <v>951.79899999999998</v>
      </c>
      <c r="W65">
        <v>1314.3879999999999</v>
      </c>
      <c r="X65">
        <v>3209.1729999999998</v>
      </c>
      <c r="Y65">
        <v>3217.9859999999999</v>
      </c>
      <c r="Z65">
        <v>165.059</v>
      </c>
      <c r="AA65">
        <v>2855.3960000000002</v>
      </c>
      <c r="AB65">
        <v>3852.518</v>
      </c>
      <c r="AC65">
        <v>3.2</v>
      </c>
      <c r="AD65">
        <v>193.21100000000001</v>
      </c>
      <c r="AE65">
        <v>192.57599999999999</v>
      </c>
      <c r="AF65">
        <v>4.9089999999999998</v>
      </c>
      <c r="AG65">
        <v>187.31800000000001</v>
      </c>
      <c r="AH65">
        <v>0.80710382513661205</v>
      </c>
      <c r="AI65">
        <v>227.655</v>
      </c>
      <c r="AJ65">
        <v>0</v>
      </c>
      <c r="AK65">
        <v>0.436</v>
      </c>
      <c r="AL65">
        <v>-26.831</v>
      </c>
      <c r="AM65">
        <v>320.053</v>
      </c>
      <c r="AN65">
        <v>324.26499999999999</v>
      </c>
      <c r="AO65">
        <v>13.404</v>
      </c>
      <c r="AP65">
        <v>277.94099999999997</v>
      </c>
      <c r="AQ65">
        <v>324.26499999999999</v>
      </c>
      <c r="AR65">
        <v>2013.8219999999999</v>
      </c>
      <c r="AS65">
        <v>2038.2349999999999</v>
      </c>
      <c r="AT65">
        <v>173.953</v>
      </c>
      <c r="AU65">
        <v>1482.3530000000001</v>
      </c>
      <c r="AV65">
        <v>2316.1759999999999</v>
      </c>
      <c r="AW65">
        <v>3449.7240000000002</v>
      </c>
      <c r="AX65">
        <v>3427.9409999999998</v>
      </c>
      <c r="AY65">
        <v>109.30800000000001</v>
      </c>
      <c r="AZ65">
        <v>3196.3240000000001</v>
      </c>
      <c r="BA65">
        <v>3705.8820000000001</v>
      </c>
      <c r="BB65">
        <v>3.66</v>
      </c>
      <c r="BC65">
        <v>192.721</v>
      </c>
      <c r="BD65">
        <v>192.57599999999999</v>
      </c>
      <c r="BE65">
        <v>7.6529999999999996</v>
      </c>
      <c r="BF65">
        <v>96.197999999999993</v>
      </c>
      <c r="BG65">
        <v>0.59048672566371685</v>
      </c>
      <c r="BH65">
        <v>222.727</v>
      </c>
      <c r="BI65">
        <v>0</v>
      </c>
      <c r="BJ65">
        <v>1.4810000000000001</v>
      </c>
      <c r="BK65">
        <v>-27.218</v>
      </c>
      <c r="BL65">
        <v>365.03500000000003</v>
      </c>
      <c r="BM65">
        <v>367.5</v>
      </c>
      <c r="BN65">
        <v>18.867000000000001</v>
      </c>
      <c r="BO65">
        <v>321.56299999999999</v>
      </c>
      <c r="BP65">
        <v>505.31200000000001</v>
      </c>
      <c r="BQ65">
        <v>1107.223</v>
      </c>
      <c r="BR65">
        <v>1056.5630000000001</v>
      </c>
      <c r="BS65">
        <v>148.779</v>
      </c>
      <c r="BT65">
        <v>964.68700000000001</v>
      </c>
      <c r="BU65">
        <v>1837.5</v>
      </c>
      <c r="BV65">
        <v>3367.2629999999999</v>
      </c>
      <c r="BW65">
        <v>3399.375</v>
      </c>
      <c r="BX65">
        <v>218.10900000000001</v>
      </c>
      <c r="BY65">
        <v>2434.6880000000001</v>
      </c>
      <c r="BZ65">
        <v>3812.8130000000001</v>
      </c>
      <c r="CA65">
        <v>4.5199999999999996</v>
      </c>
      <c r="CB65">
        <v>8</v>
      </c>
      <c r="CC65">
        <v>5</v>
      </c>
      <c r="CD65">
        <v>0</v>
      </c>
      <c r="CE65">
        <v>4</v>
      </c>
      <c r="CF65">
        <v>3</v>
      </c>
    </row>
    <row r="66" spans="1:84" x14ac:dyDescent="0.35">
      <c r="A66" t="s">
        <v>334</v>
      </c>
      <c r="B66" t="str">
        <f t="shared" si="5"/>
        <v xml:space="preserve"> fr_ga_1998_02_14_859</v>
      </c>
      <c r="C66" s="1">
        <f t="shared" ref="C66:C97" si="6">DATEVALUE(SUBSTITUTE(_xlfn.TEXTAFTER(_xlfn.TEXTBEFORE(A66," -"),"a2_"),"_","/"))</f>
        <v>45761</v>
      </c>
      <c r="D66" t="s">
        <v>78</v>
      </c>
      <c r="E66">
        <v>204.69399999999999</v>
      </c>
      <c r="F66">
        <v>204.57300000000001</v>
      </c>
      <c r="G66">
        <v>4.7469999999999999</v>
      </c>
      <c r="H66">
        <v>193.66399999999999</v>
      </c>
      <c r="I66">
        <v>9.8192771084337355E-2</v>
      </c>
      <c r="J66">
        <v>238.37799999999999</v>
      </c>
      <c r="K66">
        <v>0</v>
      </c>
      <c r="L66">
        <v>0.53100000000000003</v>
      </c>
      <c r="M66">
        <v>-17.189</v>
      </c>
      <c r="N66">
        <v>699.12900000000002</v>
      </c>
      <c r="O66">
        <v>692.15200000000004</v>
      </c>
      <c r="P66">
        <v>96.543999999999997</v>
      </c>
      <c r="Q66">
        <v>494.39499999999998</v>
      </c>
      <c r="R66">
        <v>1186.547</v>
      </c>
      <c r="S66">
        <v>1154.7</v>
      </c>
      <c r="T66">
        <v>1137.1079999999999</v>
      </c>
      <c r="U66">
        <v>86.801000000000002</v>
      </c>
      <c r="V66">
        <v>988.78899999999999</v>
      </c>
      <c r="W66">
        <v>1433.7439999999999</v>
      </c>
      <c r="X66">
        <v>2595.42</v>
      </c>
      <c r="Y66">
        <v>2521.413</v>
      </c>
      <c r="Z66">
        <v>297.113</v>
      </c>
      <c r="AA66">
        <v>2076.4569999999999</v>
      </c>
      <c r="AB66">
        <v>3559.6410000000001</v>
      </c>
      <c r="AC66">
        <v>3.32</v>
      </c>
      <c r="AD66">
        <v>200.298</v>
      </c>
      <c r="AE66">
        <v>199.80600000000001</v>
      </c>
      <c r="AF66">
        <v>2.2109999999999999</v>
      </c>
      <c r="AG66">
        <v>195.38</v>
      </c>
      <c r="AH66">
        <v>0.97420382165605102</v>
      </c>
      <c r="AI66">
        <v>212.45699999999999</v>
      </c>
      <c r="AJ66">
        <v>0</v>
      </c>
      <c r="AK66">
        <v>0.36399999999999999</v>
      </c>
      <c r="AL66">
        <v>-30.847000000000001</v>
      </c>
      <c r="AM66">
        <v>339.839</v>
      </c>
      <c r="AN66">
        <v>338.48700000000002</v>
      </c>
      <c r="AO66">
        <v>8001</v>
      </c>
      <c r="AP66">
        <v>338.48700000000002</v>
      </c>
      <c r="AQ66">
        <v>386.84199999999998</v>
      </c>
      <c r="AR66">
        <v>2495.2979999999998</v>
      </c>
      <c r="AS66">
        <v>2562.8290000000002</v>
      </c>
      <c r="AT66">
        <v>194.56100000000001</v>
      </c>
      <c r="AU66">
        <v>1450.6579999999999</v>
      </c>
      <c r="AV66">
        <v>2659.5390000000002</v>
      </c>
      <c r="AW66">
        <v>3211.7570000000001</v>
      </c>
      <c r="AX66">
        <v>3239.8029999999999</v>
      </c>
      <c r="AY66">
        <v>230.25800000000001</v>
      </c>
      <c r="AZ66">
        <v>2369.4079999999999</v>
      </c>
      <c r="BA66">
        <v>3626.645</v>
      </c>
      <c r="BB66">
        <v>3.14</v>
      </c>
      <c r="BC66">
        <v>202.12200000000001</v>
      </c>
      <c r="BD66">
        <v>201.89699999999999</v>
      </c>
      <c r="BE66">
        <v>2.1179999999999999</v>
      </c>
      <c r="BF66">
        <v>192.93799999999999</v>
      </c>
      <c r="BG66">
        <v>0.98790849673202619</v>
      </c>
      <c r="BH66">
        <v>216.328</v>
      </c>
      <c r="BI66">
        <v>0</v>
      </c>
      <c r="BJ66">
        <v>0.28299999999999997</v>
      </c>
      <c r="BK66">
        <v>-30.07</v>
      </c>
      <c r="BL66">
        <v>418.28100000000001</v>
      </c>
      <c r="BM66">
        <v>437.596</v>
      </c>
      <c r="BN66">
        <v>32.543999999999997</v>
      </c>
      <c r="BO66">
        <v>340.35300000000001</v>
      </c>
      <c r="BP66">
        <v>632.08399999999995</v>
      </c>
      <c r="BQ66">
        <v>973.40899999999999</v>
      </c>
      <c r="BR66">
        <v>972.43700000000001</v>
      </c>
      <c r="BS66">
        <v>6876</v>
      </c>
      <c r="BT66">
        <v>972.43700000000001</v>
      </c>
      <c r="BU66">
        <v>1021.058</v>
      </c>
      <c r="BV66">
        <v>3824.2559999999999</v>
      </c>
      <c r="BW66">
        <v>3889.7460000000001</v>
      </c>
      <c r="BX66">
        <v>399.435</v>
      </c>
      <c r="BY66">
        <v>2625.5790000000002</v>
      </c>
      <c r="BZ66">
        <v>4619.0739999999996</v>
      </c>
      <c r="CA66">
        <v>3.06</v>
      </c>
      <c r="CB66">
        <v>5</v>
      </c>
      <c r="CC66">
        <v>1</v>
      </c>
      <c r="CD66">
        <v>0</v>
      </c>
      <c r="CE66">
        <v>4</v>
      </c>
      <c r="CF66">
        <v>1</v>
      </c>
    </row>
    <row r="67" spans="1:84" x14ac:dyDescent="0.35">
      <c r="A67" t="s">
        <v>335</v>
      </c>
      <c r="B67" t="str">
        <f t="shared" si="5"/>
        <v xml:space="preserve"> fr_pa_2005_07_15_344</v>
      </c>
      <c r="C67" s="1">
        <f t="shared" si="6"/>
        <v>45761</v>
      </c>
      <c r="D67" t="s">
        <v>78</v>
      </c>
      <c r="E67">
        <v>182.59700000000001</v>
      </c>
      <c r="F67">
        <v>181.69499999999999</v>
      </c>
      <c r="G67">
        <v>6.3369999999999997</v>
      </c>
      <c r="H67">
        <v>177.72</v>
      </c>
      <c r="I67">
        <v>0.14666666666666667</v>
      </c>
      <c r="J67">
        <v>231.23599999999999</v>
      </c>
      <c r="K67">
        <v>0</v>
      </c>
      <c r="L67">
        <v>0.56499999999999995</v>
      </c>
      <c r="M67">
        <v>-27.806000000000001</v>
      </c>
      <c r="N67">
        <v>591.79100000000005</v>
      </c>
      <c r="O67">
        <v>609.47699999999998</v>
      </c>
      <c r="P67">
        <v>56.627000000000002</v>
      </c>
      <c r="Q67">
        <v>348.27199999999999</v>
      </c>
      <c r="R67">
        <v>783.61300000000006</v>
      </c>
      <c r="S67">
        <v>1246.06</v>
      </c>
      <c r="T67">
        <v>1218.954</v>
      </c>
      <c r="U67">
        <v>120.205</v>
      </c>
      <c r="V67">
        <v>1044.817</v>
      </c>
      <c r="W67">
        <v>1610.76</v>
      </c>
      <c r="X67">
        <v>2943.442</v>
      </c>
      <c r="Y67">
        <v>2960.3159999999998</v>
      </c>
      <c r="Z67">
        <v>98.600999999999999</v>
      </c>
      <c r="AA67">
        <v>2524.9749999999999</v>
      </c>
      <c r="AB67">
        <v>3177.9859999999999</v>
      </c>
      <c r="AC67">
        <v>3</v>
      </c>
      <c r="AD67">
        <v>182.94800000000001</v>
      </c>
      <c r="AE67">
        <v>182.87899999999999</v>
      </c>
      <c r="AF67">
        <v>1.536</v>
      </c>
      <c r="AG67">
        <v>180</v>
      </c>
      <c r="AH67">
        <v>0.38503184713375799</v>
      </c>
      <c r="AI67">
        <v>191.739</v>
      </c>
      <c r="AJ67">
        <v>0.99363057324840764</v>
      </c>
      <c r="AK67">
        <v>0.33500000000000002</v>
      </c>
      <c r="AL67">
        <v>-31.141999999999999</v>
      </c>
      <c r="AM67">
        <v>346.85</v>
      </c>
      <c r="AN67">
        <v>345.88200000000001</v>
      </c>
      <c r="AO67">
        <v>6.42</v>
      </c>
      <c r="AP67">
        <v>345.88200000000001</v>
      </c>
      <c r="AQ67">
        <v>389.11799999999999</v>
      </c>
      <c r="AR67">
        <v>2255.4409999999998</v>
      </c>
      <c r="AS67">
        <v>2226.6179999999999</v>
      </c>
      <c r="AT67">
        <v>222.911</v>
      </c>
      <c r="AU67">
        <v>1556.471</v>
      </c>
      <c r="AV67">
        <v>2550.8820000000001</v>
      </c>
      <c r="AW67">
        <v>3245.2280000000001</v>
      </c>
      <c r="AX67">
        <v>3285.8820000000001</v>
      </c>
      <c r="AY67">
        <v>228.458</v>
      </c>
      <c r="AZ67">
        <v>2421.1759999999999</v>
      </c>
      <c r="BA67">
        <v>3761.471</v>
      </c>
      <c r="BB67">
        <v>3.14</v>
      </c>
      <c r="BC67">
        <v>183.15299999999999</v>
      </c>
      <c r="BD67">
        <v>181.375</v>
      </c>
      <c r="BE67">
        <v>12.577999999999999</v>
      </c>
      <c r="BF67">
        <v>178.85300000000001</v>
      </c>
      <c r="BG67">
        <v>0.21419753086419749</v>
      </c>
      <c r="BH67">
        <v>326.66699999999997</v>
      </c>
      <c r="BI67">
        <v>7.0987654320987647E-3</v>
      </c>
      <c r="BJ67">
        <v>0.95299999999999996</v>
      </c>
      <c r="BK67">
        <v>-31.904</v>
      </c>
      <c r="BL67">
        <v>356.62700000000001</v>
      </c>
      <c r="BM67">
        <v>347.92899999999997</v>
      </c>
      <c r="BN67">
        <v>39.454999999999998</v>
      </c>
      <c r="BO67">
        <v>347.92899999999997</v>
      </c>
      <c r="BP67">
        <v>782.84</v>
      </c>
      <c r="BQ67">
        <v>1082.8399999999999</v>
      </c>
      <c r="BR67">
        <v>1043.787</v>
      </c>
      <c r="BS67">
        <v>70.040000000000006</v>
      </c>
      <c r="BT67">
        <v>1043.787</v>
      </c>
      <c r="BU67">
        <v>1435.2070000000001</v>
      </c>
      <c r="BV67">
        <v>3454.127</v>
      </c>
      <c r="BW67">
        <v>3479.29</v>
      </c>
      <c r="BX67">
        <v>272.03100000000001</v>
      </c>
      <c r="BY67">
        <v>2739.9409999999998</v>
      </c>
      <c r="BZ67">
        <v>4044.6750000000002</v>
      </c>
      <c r="CA67">
        <v>3.24</v>
      </c>
      <c r="CB67">
        <v>4</v>
      </c>
      <c r="CC67">
        <v>1</v>
      </c>
      <c r="CD67">
        <v>0</v>
      </c>
      <c r="CE67">
        <v>4</v>
      </c>
      <c r="CF67">
        <v>0</v>
      </c>
    </row>
    <row r="68" spans="1:84" x14ac:dyDescent="0.35">
      <c r="A68" t="s">
        <v>336</v>
      </c>
      <c r="B68" t="str">
        <f t="shared" si="5"/>
        <v xml:space="preserve"> ga_ba_2002_06_06_822</v>
      </c>
      <c r="C68" s="1">
        <f t="shared" si="6"/>
        <v>45761</v>
      </c>
      <c r="D68" t="s">
        <v>78</v>
      </c>
      <c r="E68">
        <v>193.07300000000001</v>
      </c>
      <c r="F68">
        <v>193.05799999999999</v>
      </c>
      <c r="G68">
        <v>1.1220000000000001</v>
      </c>
      <c r="H68">
        <v>190.203</v>
      </c>
      <c r="I68">
        <v>0</v>
      </c>
      <c r="J68">
        <v>200.45500000000001</v>
      </c>
      <c r="K68">
        <v>5.1162790697674414E-3</v>
      </c>
      <c r="L68">
        <v>0.26400000000000001</v>
      </c>
      <c r="M68">
        <v>-20.184999999999999</v>
      </c>
      <c r="N68">
        <v>884.82</v>
      </c>
      <c r="O68">
        <v>881.07299999999998</v>
      </c>
      <c r="P68">
        <v>34.128999999999998</v>
      </c>
      <c r="Q68">
        <v>834.7</v>
      </c>
      <c r="R68">
        <v>1112.934</v>
      </c>
      <c r="S68">
        <v>1195.1389999999999</v>
      </c>
      <c r="T68">
        <v>1205.6780000000001</v>
      </c>
      <c r="U68">
        <v>41.368000000000002</v>
      </c>
      <c r="V68">
        <v>1112.934</v>
      </c>
      <c r="W68">
        <v>1437.539</v>
      </c>
      <c r="X68">
        <v>2659.6120000000001</v>
      </c>
      <c r="Y68">
        <v>2643.2179999999998</v>
      </c>
      <c r="Z68">
        <v>70.338999999999999</v>
      </c>
      <c r="AA68">
        <v>2504.1010000000001</v>
      </c>
      <c r="AB68">
        <v>2828.7069999999999</v>
      </c>
      <c r="AC68">
        <v>4.3</v>
      </c>
      <c r="AD68">
        <v>195.31899999999999</v>
      </c>
      <c r="AE68">
        <v>195.13300000000001</v>
      </c>
      <c r="AF68">
        <v>1.9850000000000001</v>
      </c>
      <c r="AG68">
        <v>188.46199999999999</v>
      </c>
      <c r="AH68">
        <v>5.0505050505050509E-3</v>
      </c>
      <c r="AI68">
        <v>214.078</v>
      </c>
      <c r="AJ68">
        <v>0.99974747474747483</v>
      </c>
      <c r="AK68">
        <v>0.371</v>
      </c>
      <c r="AL68">
        <v>-29.692</v>
      </c>
      <c r="AM68">
        <v>327.52300000000002</v>
      </c>
      <c r="AN68">
        <v>327.01299999999998</v>
      </c>
      <c r="AO68">
        <v>4.87</v>
      </c>
      <c r="AP68">
        <v>327.01299999999998</v>
      </c>
      <c r="AQ68">
        <v>373.72899999999998</v>
      </c>
      <c r="AR68">
        <v>2370.2779999999998</v>
      </c>
      <c r="AS68">
        <v>2382.5210000000002</v>
      </c>
      <c r="AT68">
        <v>47.686</v>
      </c>
      <c r="AU68">
        <v>2195.6570000000002</v>
      </c>
      <c r="AV68">
        <v>2429.2370000000001</v>
      </c>
      <c r="AW68">
        <v>3310.75</v>
      </c>
      <c r="AX68">
        <v>3316.8429999999998</v>
      </c>
      <c r="AY68">
        <v>107.71299999999999</v>
      </c>
      <c r="AZ68">
        <v>2989.8310000000001</v>
      </c>
      <c r="BA68">
        <v>3550.424</v>
      </c>
      <c r="BB68">
        <v>3.96</v>
      </c>
      <c r="BC68">
        <v>194.21299999999999</v>
      </c>
      <c r="BD68">
        <v>192.81700000000001</v>
      </c>
      <c r="BE68">
        <v>11.917</v>
      </c>
      <c r="BF68">
        <v>189.50299999999999</v>
      </c>
      <c r="BG68">
        <v>0.1093181818181818</v>
      </c>
      <c r="BH68">
        <v>310.56299999999999</v>
      </c>
      <c r="BI68">
        <v>0</v>
      </c>
      <c r="BJ68">
        <v>0.42299999999999999</v>
      </c>
      <c r="BK68">
        <v>-31.030999999999999</v>
      </c>
      <c r="BL68">
        <v>370.32799999999997</v>
      </c>
      <c r="BM68">
        <v>368.267</v>
      </c>
      <c r="BN68">
        <v>24.052</v>
      </c>
      <c r="BO68">
        <v>322.23399999999998</v>
      </c>
      <c r="BP68">
        <v>690.50099999999998</v>
      </c>
      <c r="BQ68">
        <v>1008.013</v>
      </c>
      <c r="BR68">
        <v>1012.735</v>
      </c>
      <c r="BS68">
        <v>67.566999999999993</v>
      </c>
      <c r="BT68">
        <v>966.70100000000002</v>
      </c>
      <c r="BU68">
        <v>1841.336</v>
      </c>
      <c r="BV68">
        <v>3170.808</v>
      </c>
      <c r="BW68">
        <v>3176.3049999999998</v>
      </c>
      <c r="BX68">
        <v>124.253</v>
      </c>
      <c r="BY68">
        <v>2854.0709999999999</v>
      </c>
      <c r="BZ68">
        <v>3728.7060000000001</v>
      </c>
      <c r="CA68">
        <v>4.4000000000000004</v>
      </c>
      <c r="CB68">
        <v>4</v>
      </c>
      <c r="CC68">
        <v>0</v>
      </c>
      <c r="CD68">
        <v>0</v>
      </c>
      <c r="CE68">
        <v>1</v>
      </c>
      <c r="CF68">
        <v>0</v>
      </c>
    </row>
    <row r="69" spans="1:84" x14ac:dyDescent="0.35">
      <c r="A69" t="s">
        <v>337</v>
      </c>
      <c r="B69" t="str">
        <f t="shared" si="5"/>
        <v xml:space="preserve"> ga_sa_2005_04_30_467</v>
      </c>
      <c r="C69" s="1">
        <f t="shared" si="6"/>
        <v>45761</v>
      </c>
      <c r="D69" t="s">
        <v>78</v>
      </c>
      <c r="E69">
        <v>209.48099999999999</v>
      </c>
      <c r="F69">
        <v>209.715</v>
      </c>
      <c r="G69">
        <v>3.6549999999999998</v>
      </c>
      <c r="H69">
        <v>191.501</v>
      </c>
      <c r="I69">
        <v>1.2345679012345678E-2</v>
      </c>
      <c r="J69">
        <v>223.858</v>
      </c>
      <c r="K69">
        <v>0</v>
      </c>
      <c r="L69">
        <v>0.66600000000000004</v>
      </c>
      <c r="M69">
        <v>-24.687000000000001</v>
      </c>
      <c r="N69">
        <v>690.08799999999997</v>
      </c>
      <c r="O69">
        <v>708.84</v>
      </c>
      <c r="P69">
        <v>41.939</v>
      </c>
      <c r="Q69">
        <v>607.577</v>
      </c>
      <c r="R69">
        <v>860.73500000000001</v>
      </c>
      <c r="S69">
        <v>1150.7719999999999</v>
      </c>
      <c r="T69">
        <v>1113.8920000000001</v>
      </c>
      <c r="U69">
        <v>73.813000000000002</v>
      </c>
      <c r="V69">
        <v>1063.261</v>
      </c>
      <c r="W69">
        <v>1569.575</v>
      </c>
      <c r="X69">
        <v>3447.94</v>
      </c>
      <c r="Y69">
        <v>3442.9389999999999</v>
      </c>
      <c r="Z69">
        <v>296.48700000000002</v>
      </c>
      <c r="AA69">
        <v>2734.0990000000002</v>
      </c>
      <c r="AB69">
        <v>3999.8850000000002</v>
      </c>
      <c r="AC69">
        <v>1.62</v>
      </c>
      <c r="AD69">
        <v>211.499</v>
      </c>
      <c r="AE69">
        <v>211.43799999999999</v>
      </c>
      <c r="AF69">
        <v>1.5760000000000001</v>
      </c>
      <c r="AG69">
        <v>208.72200000000001</v>
      </c>
      <c r="AH69">
        <v>0.19764705882352943</v>
      </c>
      <c r="AI69">
        <v>216.93600000000001</v>
      </c>
      <c r="AJ69">
        <v>1.1764705882352941E-2</v>
      </c>
      <c r="AK69">
        <v>0.33400000000000002</v>
      </c>
      <c r="AL69">
        <v>-30.943000000000001</v>
      </c>
      <c r="AM69">
        <v>407.84699999999998</v>
      </c>
      <c r="AN69">
        <v>410.233</v>
      </c>
      <c r="AO69">
        <v>10.862</v>
      </c>
      <c r="AP69">
        <v>358.95299999999997</v>
      </c>
      <c r="AQ69">
        <v>410.233</v>
      </c>
      <c r="AW69">
        <v>4028.9850000000001</v>
      </c>
      <c r="AX69">
        <v>4102.326</v>
      </c>
      <c r="AY69">
        <v>212.45699999999999</v>
      </c>
      <c r="AZ69">
        <v>3333.14</v>
      </c>
      <c r="BA69">
        <v>4358.7209999999995</v>
      </c>
      <c r="BB69">
        <v>1.7</v>
      </c>
      <c r="BC69">
        <v>211.511</v>
      </c>
      <c r="BD69">
        <v>211.005</v>
      </c>
      <c r="BE69">
        <v>4.5519999999999996</v>
      </c>
      <c r="BF69">
        <v>206.488</v>
      </c>
      <c r="BG69">
        <v>0.974698795180723</v>
      </c>
      <c r="BH69">
        <v>249.15299999999999</v>
      </c>
      <c r="BI69">
        <v>0</v>
      </c>
      <c r="BJ69">
        <v>0.44</v>
      </c>
      <c r="BK69">
        <v>-31.995000000000001</v>
      </c>
      <c r="BL69">
        <v>406.12799999999999</v>
      </c>
      <c r="BM69">
        <v>405.517</v>
      </c>
      <c r="BN69">
        <v>5564</v>
      </c>
      <c r="BO69">
        <v>405.517</v>
      </c>
      <c r="BP69">
        <v>456.20699999999999</v>
      </c>
      <c r="BQ69">
        <v>1039.788</v>
      </c>
      <c r="BR69">
        <v>1013.793</v>
      </c>
      <c r="BS69">
        <v>36.537999999999997</v>
      </c>
      <c r="BT69">
        <v>963.10299999999995</v>
      </c>
      <c r="BU69">
        <v>1115.172</v>
      </c>
      <c r="BV69">
        <v>3815.7710000000002</v>
      </c>
      <c r="BW69">
        <v>3852.4140000000002</v>
      </c>
      <c r="BX69">
        <v>108.63500000000001</v>
      </c>
      <c r="BY69">
        <v>3446.8969999999999</v>
      </c>
      <c r="BZ69">
        <v>4004.4830000000002</v>
      </c>
      <c r="CA69">
        <v>1.66</v>
      </c>
      <c r="CB69">
        <v>9</v>
      </c>
      <c r="CC69">
        <v>6</v>
      </c>
      <c r="CD69">
        <v>0</v>
      </c>
      <c r="CE69">
        <v>6</v>
      </c>
      <c r="CF69">
        <v>5</v>
      </c>
    </row>
    <row r="70" spans="1:84" x14ac:dyDescent="0.35">
      <c r="A70" t="s">
        <v>338</v>
      </c>
      <c r="B70" t="str">
        <f t="shared" si="5"/>
        <v xml:space="preserve"> gi_ca_1995_01_27_425</v>
      </c>
      <c r="C70" s="1">
        <f t="shared" si="6"/>
        <v>45761</v>
      </c>
      <c r="D70" t="s">
        <v>78</v>
      </c>
      <c r="E70">
        <v>168.96199999999999</v>
      </c>
      <c r="F70">
        <v>169.05799999999999</v>
      </c>
      <c r="G70">
        <v>1.865</v>
      </c>
      <c r="H70">
        <v>164.816</v>
      </c>
      <c r="I70">
        <v>7.6219512195121958E-3</v>
      </c>
      <c r="J70">
        <v>172.17</v>
      </c>
      <c r="K70">
        <v>0.72743902439024399</v>
      </c>
      <c r="L70">
        <v>0.33300000000000002</v>
      </c>
      <c r="M70">
        <v>-28.797000000000001</v>
      </c>
      <c r="N70">
        <v>694.89700000000005</v>
      </c>
      <c r="O70">
        <v>689.06299999999999</v>
      </c>
      <c r="P70">
        <v>53.27</v>
      </c>
      <c r="Q70">
        <v>486.39699999999999</v>
      </c>
      <c r="R70">
        <v>851.19500000000005</v>
      </c>
      <c r="S70">
        <v>1058.009</v>
      </c>
      <c r="T70">
        <v>1053.8599999999999</v>
      </c>
      <c r="U70">
        <v>29.262</v>
      </c>
      <c r="V70">
        <v>1013.327</v>
      </c>
      <c r="W70">
        <v>1297.059</v>
      </c>
      <c r="X70">
        <v>2592.8890000000001</v>
      </c>
      <c r="Y70">
        <v>2553.585</v>
      </c>
      <c r="Z70">
        <v>174.137</v>
      </c>
      <c r="AA70">
        <v>2269.8530000000001</v>
      </c>
      <c r="AB70">
        <v>3607.4450000000002</v>
      </c>
      <c r="AC70">
        <v>3.28</v>
      </c>
      <c r="AD70">
        <v>172.54599999999999</v>
      </c>
      <c r="AE70">
        <v>172.84399999999999</v>
      </c>
      <c r="AF70">
        <v>2.6680000000000001</v>
      </c>
      <c r="AG70">
        <v>167.77199999999999</v>
      </c>
      <c r="AH70">
        <v>0.98045112781954891</v>
      </c>
      <c r="AI70">
        <v>190.90899999999999</v>
      </c>
      <c r="AJ70">
        <v>0</v>
      </c>
      <c r="AK70">
        <v>0.35299999999999998</v>
      </c>
      <c r="AL70">
        <v>-30.86</v>
      </c>
      <c r="AM70">
        <v>331.26799999999997</v>
      </c>
      <c r="AN70">
        <v>331.26799999999997</v>
      </c>
      <c r="AO70">
        <v>0</v>
      </c>
      <c r="AP70">
        <v>331.26799999999997</v>
      </c>
      <c r="AQ70">
        <v>331.26799999999997</v>
      </c>
      <c r="AW70">
        <v>3183.5120000000002</v>
      </c>
      <c r="AX70">
        <v>3188.451</v>
      </c>
      <c r="AY70">
        <v>58.756999999999998</v>
      </c>
      <c r="AZ70">
        <v>3064.2249999999999</v>
      </c>
      <c r="BA70">
        <v>3354.085</v>
      </c>
      <c r="BB70">
        <v>2.66</v>
      </c>
      <c r="BC70">
        <v>170.852</v>
      </c>
      <c r="BD70">
        <v>171.31</v>
      </c>
      <c r="BE70">
        <v>1.7789999999999999</v>
      </c>
      <c r="BF70">
        <v>164.816</v>
      </c>
      <c r="BG70">
        <v>4.5895522388059697E-2</v>
      </c>
      <c r="BH70">
        <v>175.398</v>
      </c>
      <c r="BI70">
        <v>0</v>
      </c>
      <c r="BJ70">
        <v>0.30599999999999999</v>
      </c>
      <c r="BK70">
        <v>-29.463999999999999</v>
      </c>
      <c r="BL70">
        <v>371.98700000000002</v>
      </c>
      <c r="BM70">
        <v>369.89699999999999</v>
      </c>
      <c r="BN70">
        <v>14.122</v>
      </c>
      <c r="BO70">
        <v>328.798</v>
      </c>
      <c r="BP70">
        <v>410.99700000000001</v>
      </c>
      <c r="BQ70">
        <v>1080.009</v>
      </c>
      <c r="BR70">
        <v>1068.5930000000001</v>
      </c>
      <c r="BS70">
        <v>48.436</v>
      </c>
      <c r="BT70">
        <v>1027.4929999999999</v>
      </c>
      <c r="BU70">
        <v>1232.992</v>
      </c>
      <c r="BV70">
        <v>3123.2020000000002</v>
      </c>
      <c r="BW70">
        <v>3123.5790000000002</v>
      </c>
      <c r="BX70">
        <v>96.143000000000001</v>
      </c>
      <c r="BY70">
        <v>2876.98</v>
      </c>
      <c r="BZ70">
        <v>3329.0770000000002</v>
      </c>
      <c r="CA70">
        <v>2.68</v>
      </c>
      <c r="CB70">
        <v>4</v>
      </c>
      <c r="CC70">
        <v>0</v>
      </c>
      <c r="CD70">
        <v>1</v>
      </c>
      <c r="CE70">
        <v>2</v>
      </c>
      <c r="CF70">
        <v>0</v>
      </c>
    </row>
    <row r="71" spans="1:84" x14ac:dyDescent="0.35">
      <c r="A71" t="s">
        <v>339</v>
      </c>
      <c r="B71" t="str">
        <f t="shared" si="5"/>
        <v xml:space="preserve"> gi_ga_2001_03_16_540</v>
      </c>
      <c r="C71" s="1">
        <f t="shared" si="6"/>
        <v>45761</v>
      </c>
      <c r="D71" t="s">
        <v>78</v>
      </c>
      <c r="E71">
        <v>194.75700000000001</v>
      </c>
      <c r="F71">
        <v>194.273</v>
      </c>
      <c r="G71">
        <v>2.8050000000000002</v>
      </c>
      <c r="H71">
        <v>192.09700000000001</v>
      </c>
      <c r="I71">
        <v>0.61388888888888882</v>
      </c>
      <c r="J71">
        <v>212.60300000000001</v>
      </c>
      <c r="K71">
        <v>0.98968253968253972</v>
      </c>
      <c r="L71">
        <v>0.40799999999999997</v>
      </c>
      <c r="M71">
        <v>-24.091999999999999</v>
      </c>
      <c r="N71">
        <v>428.59500000000003</v>
      </c>
      <c r="O71">
        <v>421.78500000000003</v>
      </c>
      <c r="P71">
        <v>46.567</v>
      </c>
      <c r="Q71">
        <v>374.92</v>
      </c>
      <c r="R71">
        <v>609.245</v>
      </c>
      <c r="S71">
        <v>1261.316</v>
      </c>
      <c r="T71">
        <v>1265.356</v>
      </c>
      <c r="U71">
        <v>85.765000000000001</v>
      </c>
      <c r="V71">
        <v>1077.896</v>
      </c>
      <c r="W71">
        <v>1452.816</v>
      </c>
      <c r="X71">
        <v>2738.6010000000001</v>
      </c>
      <c r="Y71">
        <v>2718.172</v>
      </c>
      <c r="Z71">
        <v>201.422</v>
      </c>
      <c r="AA71">
        <v>2390.1170000000002</v>
      </c>
      <c r="AB71">
        <v>3468.0129999999999</v>
      </c>
      <c r="AC71">
        <v>2.52</v>
      </c>
      <c r="AD71">
        <v>197.565</v>
      </c>
      <c r="AE71">
        <v>196.125</v>
      </c>
      <c r="AF71">
        <v>5.4039999999999999</v>
      </c>
      <c r="AG71">
        <v>194.273</v>
      </c>
      <c r="AH71">
        <v>0.85347826086956535</v>
      </c>
      <c r="AI71">
        <v>235.82900000000001</v>
      </c>
      <c r="AJ71">
        <v>0</v>
      </c>
      <c r="AK71">
        <v>0.47799999999999998</v>
      </c>
      <c r="AL71">
        <v>-26.376000000000001</v>
      </c>
      <c r="AM71">
        <v>331.22300000000001</v>
      </c>
      <c r="AN71">
        <v>331.22300000000001</v>
      </c>
      <c r="AO71">
        <v>11.311</v>
      </c>
      <c r="AP71">
        <v>283.90600000000001</v>
      </c>
      <c r="AQ71">
        <v>378.541</v>
      </c>
      <c r="AR71">
        <v>2429.6869999999999</v>
      </c>
      <c r="AS71">
        <v>2460.5149999999999</v>
      </c>
      <c r="AT71">
        <v>146.018</v>
      </c>
      <c r="AU71">
        <v>1514.163</v>
      </c>
      <c r="AV71">
        <v>2602.4679999999998</v>
      </c>
      <c r="AW71">
        <v>3225.9989999999998</v>
      </c>
      <c r="AX71">
        <v>3217.5970000000002</v>
      </c>
      <c r="AY71">
        <v>199.88800000000001</v>
      </c>
      <c r="AZ71">
        <v>2507.8330000000001</v>
      </c>
      <c r="BA71">
        <v>4069.3130000000001</v>
      </c>
      <c r="BB71">
        <v>2.2999999999999998</v>
      </c>
      <c r="BC71">
        <v>195.851</v>
      </c>
      <c r="BD71">
        <v>195.751</v>
      </c>
      <c r="BE71">
        <v>1.8740000000000001</v>
      </c>
      <c r="BF71">
        <v>192.21700000000001</v>
      </c>
      <c r="BG71">
        <v>0.10491071428571427</v>
      </c>
      <c r="BH71">
        <v>207.18100000000001</v>
      </c>
      <c r="BI71">
        <v>9.3749999999999997E-3</v>
      </c>
      <c r="BJ71">
        <v>0.33600000000000002</v>
      </c>
      <c r="BK71">
        <v>-28.495999999999999</v>
      </c>
      <c r="BL71">
        <v>375.91399999999999</v>
      </c>
      <c r="BM71">
        <v>377.73</v>
      </c>
      <c r="BN71">
        <v>11.249000000000001</v>
      </c>
      <c r="BO71">
        <v>330.51400000000001</v>
      </c>
      <c r="BP71">
        <v>424.94600000000003</v>
      </c>
      <c r="BQ71">
        <v>1068.76</v>
      </c>
      <c r="BR71">
        <v>1085.9739999999999</v>
      </c>
      <c r="BS71">
        <v>57.366999999999997</v>
      </c>
      <c r="BT71">
        <v>944.32500000000005</v>
      </c>
      <c r="BU71">
        <v>1227.623</v>
      </c>
      <c r="BV71">
        <v>2998.2330000000002</v>
      </c>
      <c r="BW71">
        <v>2974.625</v>
      </c>
      <c r="BX71">
        <v>127.07</v>
      </c>
      <c r="BY71">
        <v>2691.328</v>
      </c>
      <c r="BZ71">
        <v>3541.221</v>
      </c>
      <c r="CA71">
        <v>2.2400000000000002</v>
      </c>
      <c r="CB71">
        <v>4</v>
      </c>
      <c r="CC71">
        <v>0</v>
      </c>
      <c r="CD71">
        <v>0</v>
      </c>
      <c r="CE71">
        <v>1</v>
      </c>
      <c r="CF71">
        <v>1</v>
      </c>
    </row>
    <row r="72" spans="1:84" x14ac:dyDescent="0.35">
      <c r="A72" t="s">
        <v>340</v>
      </c>
      <c r="B72" t="str">
        <f t="shared" si="5"/>
        <v xml:space="preserve"> gi_la_2005_03_15_562</v>
      </c>
      <c r="C72" s="1">
        <f t="shared" si="6"/>
        <v>45761</v>
      </c>
      <c r="D72" t="s">
        <v>78</v>
      </c>
      <c r="E72">
        <v>189.96899999999999</v>
      </c>
      <c r="F72">
        <v>190.673</v>
      </c>
      <c r="G72">
        <v>5.3369999999999997</v>
      </c>
      <c r="H72">
        <v>135.09800000000001</v>
      </c>
      <c r="I72">
        <v>0</v>
      </c>
      <c r="J72">
        <v>204.30199999999999</v>
      </c>
      <c r="K72">
        <v>7.1428571428571426E-3</v>
      </c>
      <c r="L72">
        <v>0.81200000000000006</v>
      </c>
      <c r="M72">
        <v>-28.673999999999999</v>
      </c>
      <c r="N72">
        <v>546.53200000000004</v>
      </c>
      <c r="O72">
        <v>543.88499999999999</v>
      </c>
      <c r="P72">
        <v>50.603999999999999</v>
      </c>
      <c r="Q72">
        <v>453.23700000000002</v>
      </c>
      <c r="R72">
        <v>861.15099999999995</v>
      </c>
      <c r="S72">
        <v>1182.95</v>
      </c>
      <c r="T72">
        <v>1178.4169999999999</v>
      </c>
      <c r="U72">
        <v>161.94399999999999</v>
      </c>
      <c r="V72">
        <v>997.12199999999996</v>
      </c>
      <c r="W72">
        <v>1541.0070000000001</v>
      </c>
      <c r="X72">
        <v>3400.5940000000001</v>
      </c>
      <c r="Y72">
        <v>3399.2809999999999</v>
      </c>
      <c r="Z72">
        <v>159.65199999999999</v>
      </c>
      <c r="AA72">
        <v>2855.3960000000002</v>
      </c>
      <c r="AB72">
        <v>3761.8710000000001</v>
      </c>
      <c r="AC72">
        <v>3.08</v>
      </c>
      <c r="AD72">
        <v>194.28399999999999</v>
      </c>
      <c r="AE72">
        <v>193.05799999999999</v>
      </c>
      <c r="AF72">
        <v>9.8230000000000004</v>
      </c>
      <c r="AG72">
        <v>184.85</v>
      </c>
      <c r="AH72">
        <v>0.98409090909090913</v>
      </c>
      <c r="AI72">
        <v>280.12700000000001</v>
      </c>
      <c r="AJ72">
        <v>0</v>
      </c>
      <c r="AK72">
        <v>0.63400000000000001</v>
      </c>
      <c r="AL72">
        <v>-29.033000000000001</v>
      </c>
      <c r="AM72">
        <v>325.89299999999997</v>
      </c>
      <c r="AN72">
        <v>325.29000000000002</v>
      </c>
      <c r="AO72">
        <v>11.865</v>
      </c>
      <c r="AP72">
        <v>278.82</v>
      </c>
      <c r="AQ72">
        <v>464.7</v>
      </c>
      <c r="AR72">
        <v>2102.0619999999999</v>
      </c>
      <c r="AS72">
        <v>2091.1489999999999</v>
      </c>
      <c r="AT72">
        <v>187.63300000000001</v>
      </c>
      <c r="AU72">
        <v>1440.569</v>
      </c>
      <c r="AV72">
        <v>2602.3180000000002</v>
      </c>
      <c r="AW72">
        <v>3548.0680000000002</v>
      </c>
      <c r="AX72">
        <v>3531.7179999999998</v>
      </c>
      <c r="AY72">
        <v>140.84299999999999</v>
      </c>
      <c r="AZ72">
        <v>2927.6080000000002</v>
      </c>
      <c r="BA72">
        <v>3903.4769999999999</v>
      </c>
      <c r="BB72">
        <v>3.52</v>
      </c>
      <c r="BC72">
        <v>195.43199999999999</v>
      </c>
      <c r="BD72">
        <v>195.00899999999999</v>
      </c>
      <c r="BE72">
        <v>3.8420000000000001</v>
      </c>
      <c r="BF72">
        <v>182.988</v>
      </c>
      <c r="BG72">
        <v>0.98925619834710754</v>
      </c>
      <c r="BH72">
        <v>223.21</v>
      </c>
      <c r="BI72">
        <v>0</v>
      </c>
      <c r="BJ72">
        <v>0.53500000000000003</v>
      </c>
      <c r="BK72">
        <v>-29.99</v>
      </c>
      <c r="BL72">
        <v>324.60599999999999</v>
      </c>
      <c r="BM72">
        <v>324.60599999999999</v>
      </c>
      <c r="BN72">
        <v>19.773</v>
      </c>
      <c r="BO72">
        <v>231.86099999999999</v>
      </c>
      <c r="BP72">
        <v>370.97800000000001</v>
      </c>
      <c r="BQ72">
        <v>1186.9090000000001</v>
      </c>
      <c r="BR72">
        <v>1159.306</v>
      </c>
      <c r="BS72">
        <v>100.381</v>
      </c>
      <c r="BT72">
        <v>973.81700000000001</v>
      </c>
      <c r="BU72">
        <v>1623.028</v>
      </c>
      <c r="BV72">
        <v>3400.2130000000002</v>
      </c>
      <c r="BW72">
        <v>3385.174</v>
      </c>
      <c r="BX72">
        <v>124.455</v>
      </c>
      <c r="BY72">
        <v>3060.5680000000002</v>
      </c>
      <c r="BZ72">
        <v>3756.1509999999998</v>
      </c>
      <c r="CA72">
        <v>2.42</v>
      </c>
      <c r="CB72">
        <v>5</v>
      </c>
      <c r="CC72">
        <v>3</v>
      </c>
      <c r="CD72">
        <v>0</v>
      </c>
      <c r="CE72">
        <v>2</v>
      </c>
      <c r="CF72">
        <v>2</v>
      </c>
    </row>
    <row r="73" spans="1:84" x14ac:dyDescent="0.35">
      <c r="A73" t="s">
        <v>341</v>
      </c>
      <c r="B73" t="str">
        <f t="shared" si="5"/>
        <v xml:space="preserve"> gi_lo_2004_06_27_237</v>
      </c>
      <c r="C73" s="1">
        <f t="shared" si="6"/>
        <v>45761</v>
      </c>
      <c r="D73" t="s">
        <v>78</v>
      </c>
      <c r="E73">
        <v>219.52199999999999</v>
      </c>
      <c r="F73">
        <v>219.559</v>
      </c>
      <c r="G73">
        <v>1.379</v>
      </c>
      <c r="H73">
        <v>215.72300000000001</v>
      </c>
      <c r="I73">
        <v>5.2134146341463419E-2</v>
      </c>
      <c r="J73">
        <v>225.328</v>
      </c>
      <c r="K73">
        <v>0.99878048780487805</v>
      </c>
      <c r="L73">
        <v>0.26700000000000002</v>
      </c>
      <c r="M73">
        <v>-27.52</v>
      </c>
      <c r="N73">
        <v>768.42499999999995</v>
      </c>
      <c r="O73">
        <v>743.85500000000002</v>
      </c>
      <c r="P73">
        <v>47.765000000000001</v>
      </c>
      <c r="Q73">
        <v>584.45799999999997</v>
      </c>
      <c r="R73">
        <v>850.12</v>
      </c>
      <c r="S73">
        <v>1135.4390000000001</v>
      </c>
      <c r="T73">
        <v>1115.7829999999999</v>
      </c>
      <c r="U73">
        <v>39.347000000000001</v>
      </c>
      <c r="V73">
        <v>1009.518</v>
      </c>
      <c r="W73">
        <v>1222.048</v>
      </c>
      <c r="X73">
        <v>2241.701</v>
      </c>
      <c r="Y73">
        <v>2231.5659999999998</v>
      </c>
      <c r="Z73">
        <v>126.223</v>
      </c>
      <c r="AA73">
        <v>2019.0360000000001</v>
      </c>
      <c r="AB73">
        <v>2762.8919999999998</v>
      </c>
      <c r="AC73">
        <v>3.28</v>
      </c>
      <c r="AD73">
        <v>220.614</v>
      </c>
      <c r="AE73">
        <v>220.34299999999999</v>
      </c>
      <c r="AF73">
        <v>2.6230000000000002</v>
      </c>
      <c r="AG73">
        <v>217.24100000000001</v>
      </c>
      <c r="AH73">
        <v>4.8387096774193547E-2</v>
      </c>
      <c r="AI73">
        <v>249.15299999999999</v>
      </c>
      <c r="AJ73">
        <v>0</v>
      </c>
      <c r="AK73">
        <v>0.34599999999999997</v>
      </c>
      <c r="AL73">
        <v>-31.81</v>
      </c>
      <c r="AM73">
        <v>375.41800000000001</v>
      </c>
      <c r="AN73">
        <v>375.09100000000001</v>
      </c>
      <c r="AO73">
        <v>11.1</v>
      </c>
      <c r="AP73">
        <v>267.92200000000003</v>
      </c>
      <c r="AQ73">
        <v>428.67599999999999</v>
      </c>
      <c r="AR73">
        <v>2427.5790000000002</v>
      </c>
      <c r="AS73">
        <v>2518.4690000000001</v>
      </c>
      <c r="AT73">
        <v>187.66399999999999</v>
      </c>
      <c r="AU73">
        <v>1500.365</v>
      </c>
      <c r="AV73">
        <v>2572.0529999999999</v>
      </c>
      <c r="AW73">
        <v>3398.038</v>
      </c>
      <c r="AX73">
        <v>3349.0279999999998</v>
      </c>
      <c r="AY73">
        <v>290.29000000000002</v>
      </c>
      <c r="AZ73">
        <v>2947.145</v>
      </c>
      <c r="BA73">
        <v>4126.0020000000004</v>
      </c>
      <c r="BB73">
        <v>3.1</v>
      </c>
      <c r="BC73">
        <v>220.49299999999999</v>
      </c>
      <c r="BD73">
        <v>219.87200000000001</v>
      </c>
      <c r="BE73">
        <v>3.2269999999999999</v>
      </c>
      <c r="BF73">
        <v>212.31100000000001</v>
      </c>
      <c r="BG73">
        <v>0.99316770186335401</v>
      </c>
      <c r="BH73">
        <v>252.41200000000001</v>
      </c>
      <c r="BI73">
        <v>0</v>
      </c>
      <c r="BJ73">
        <v>0.36599999999999999</v>
      </c>
      <c r="BK73">
        <v>-30.550999999999998</v>
      </c>
      <c r="BL73">
        <v>376.61599999999999</v>
      </c>
      <c r="BM73">
        <v>371.928</v>
      </c>
      <c r="BN73">
        <v>19.029</v>
      </c>
      <c r="BO73">
        <v>318.79500000000002</v>
      </c>
      <c r="BP73">
        <v>531.32500000000005</v>
      </c>
      <c r="BQ73">
        <v>982.952</v>
      </c>
      <c r="BR73">
        <v>956.38599999999997</v>
      </c>
      <c r="BS73">
        <v>94.272999999999996</v>
      </c>
      <c r="BT73">
        <v>956.38599999999997</v>
      </c>
      <c r="BU73">
        <v>1434.578</v>
      </c>
      <c r="BV73">
        <v>3339.5360000000001</v>
      </c>
      <c r="BW73">
        <v>3347.3490000000002</v>
      </c>
      <c r="BX73">
        <v>250.52799999999999</v>
      </c>
      <c r="BY73">
        <v>2656.627</v>
      </c>
      <c r="BZ73">
        <v>3878.6750000000002</v>
      </c>
      <c r="CA73">
        <v>3.22</v>
      </c>
    </row>
    <row r="74" spans="1:84" x14ac:dyDescent="0.35">
      <c r="A74" t="s">
        <v>342</v>
      </c>
      <c r="B74" t="str">
        <f t="shared" si="5"/>
        <v xml:space="preserve"> gi_ma_2004_01_10_447</v>
      </c>
      <c r="C74" s="1">
        <f t="shared" si="6"/>
        <v>45761</v>
      </c>
      <c r="D74" t="s">
        <v>78</v>
      </c>
      <c r="E74">
        <v>222.74600000000001</v>
      </c>
      <c r="F74">
        <v>221.608</v>
      </c>
      <c r="G74">
        <v>9.4860000000000007</v>
      </c>
      <c r="H74">
        <v>217.39400000000001</v>
      </c>
      <c r="I74">
        <v>0.77966666666666662</v>
      </c>
      <c r="J74">
        <v>335.54300000000001</v>
      </c>
      <c r="K74">
        <v>0</v>
      </c>
      <c r="L74">
        <v>0.59499999999999997</v>
      </c>
      <c r="M74">
        <v>-27.809000000000001</v>
      </c>
      <c r="N74">
        <v>882.40599999999995</v>
      </c>
      <c r="O74">
        <v>866.83</v>
      </c>
      <c r="P74">
        <v>45.220999999999997</v>
      </c>
      <c r="Q74">
        <v>758.47699999999998</v>
      </c>
      <c r="R74">
        <v>1029.3610000000001</v>
      </c>
      <c r="S74">
        <v>1153.9680000000001</v>
      </c>
      <c r="T74">
        <v>1137.7149999999999</v>
      </c>
      <c r="U74">
        <v>35.326000000000001</v>
      </c>
      <c r="V74">
        <v>1083.538</v>
      </c>
      <c r="W74">
        <v>1246.069</v>
      </c>
      <c r="X74">
        <v>3374.4470000000001</v>
      </c>
      <c r="Y74">
        <v>3358.9679999999998</v>
      </c>
      <c r="Z74">
        <v>131.655</v>
      </c>
      <c r="AA74">
        <v>2708.8449999999998</v>
      </c>
      <c r="AB74">
        <v>3629.8530000000001</v>
      </c>
      <c r="AC74">
        <v>3</v>
      </c>
      <c r="AD74">
        <v>233.791</v>
      </c>
      <c r="AE74">
        <v>233.333</v>
      </c>
      <c r="AF74">
        <v>1.853</v>
      </c>
      <c r="AG74">
        <v>230.89</v>
      </c>
      <c r="AH74">
        <v>0.97389705882352939</v>
      </c>
      <c r="AI74">
        <v>243.839</v>
      </c>
      <c r="AJ74">
        <v>6.6176470588235285E-3</v>
      </c>
      <c r="AK74">
        <v>0.19400000000000001</v>
      </c>
      <c r="AL74">
        <v>-32.317999999999998</v>
      </c>
      <c r="AM74">
        <v>351.54300000000001</v>
      </c>
      <c r="AN74">
        <v>341.86</v>
      </c>
      <c r="AO74">
        <v>21.469000000000001</v>
      </c>
      <c r="AP74">
        <v>341.86</v>
      </c>
      <c r="AQ74">
        <v>398.83699999999999</v>
      </c>
      <c r="AR74">
        <v>2474.951</v>
      </c>
      <c r="AS74">
        <v>2506.9769999999999</v>
      </c>
      <c r="AT74">
        <v>56.156999999999996</v>
      </c>
      <c r="AU74">
        <v>2279.0700000000002</v>
      </c>
      <c r="AV74">
        <v>2563.953</v>
      </c>
      <c r="AW74">
        <v>3081.585</v>
      </c>
      <c r="AX74">
        <v>3076.7440000000001</v>
      </c>
      <c r="AY74">
        <v>146.13499999999999</v>
      </c>
      <c r="AZ74">
        <v>2791.86</v>
      </c>
      <c r="BA74">
        <v>3532.558</v>
      </c>
      <c r="BB74">
        <v>2.72</v>
      </c>
      <c r="BC74">
        <v>233.63800000000001</v>
      </c>
      <c r="BD74">
        <v>233.15700000000001</v>
      </c>
      <c r="BE74">
        <v>2.4889999999999999</v>
      </c>
      <c r="BF74">
        <v>229.517</v>
      </c>
      <c r="BG74">
        <v>0.27592592592592591</v>
      </c>
      <c r="BH74">
        <v>240.98400000000001</v>
      </c>
      <c r="BI74">
        <v>2.6296296296296293E-2</v>
      </c>
      <c r="BJ74">
        <v>0.23100000000000001</v>
      </c>
      <c r="BK74">
        <v>-31.731999999999999</v>
      </c>
      <c r="BL74">
        <v>454.80599999999998</v>
      </c>
      <c r="BM74">
        <v>454.05399999999997</v>
      </c>
      <c r="BN74">
        <v>14.635</v>
      </c>
      <c r="BO74">
        <v>397.29700000000003</v>
      </c>
      <c r="BP74">
        <v>624.32399999999996</v>
      </c>
      <c r="BQ74">
        <v>1022.495</v>
      </c>
      <c r="BR74">
        <v>1021.622</v>
      </c>
      <c r="BS74">
        <v>29.125</v>
      </c>
      <c r="BT74">
        <v>964.86500000000001</v>
      </c>
      <c r="BU74">
        <v>1078.3779999999999</v>
      </c>
      <c r="BV74">
        <v>2992.6970000000001</v>
      </c>
      <c r="BW74">
        <v>3008.1080000000002</v>
      </c>
      <c r="BX74">
        <v>152.56700000000001</v>
      </c>
      <c r="BY74">
        <v>2724.3240000000001</v>
      </c>
      <c r="BZ74">
        <v>3462.1619999999998</v>
      </c>
      <c r="CA74">
        <v>2.7</v>
      </c>
      <c r="CB74">
        <v>8</v>
      </c>
      <c r="CC74">
        <v>3</v>
      </c>
      <c r="CD74">
        <v>2</v>
      </c>
      <c r="CE74">
        <v>7</v>
      </c>
      <c r="CF74">
        <v>4</v>
      </c>
    </row>
    <row r="75" spans="1:84" x14ac:dyDescent="0.35">
      <c r="A75" t="s">
        <v>343</v>
      </c>
      <c r="B75" t="str">
        <f t="shared" si="5"/>
        <v xml:space="preserve"> gi_ma_2006_01_06_210</v>
      </c>
      <c r="C75" s="1">
        <f t="shared" si="6"/>
        <v>45761</v>
      </c>
      <c r="D75" t="s">
        <v>78</v>
      </c>
      <c r="E75">
        <v>165.17599999999999</v>
      </c>
      <c r="F75">
        <v>162.13200000000001</v>
      </c>
      <c r="G75">
        <v>16.893999999999998</v>
      </c>
      <c r="H75">
        <v>155.90899999999999</v>
      </c>
      <c r="I75">
        <v>0.98000000000000009</v>
      </c>
      <c r="J75">
        <v>292.053</v>
      </c>
      <c r="K75">
        <v>8.6206896551724137E-3</v>
      </c>
      <c r="L75">
        <v>0.73899999999999999</v>
      </c>
      <c r="M75">
        <v>-28.225000000000001</v>
      </c>
      <c r="N75">
        <v>327.37099999999998</v>
      </c>
      <c r="O75">
        <v>326.66699999999997</v>
      </c>
      <c r="P75">
        <v>5338</v>
      </c>
      <c r="Q75">
        <v>326.66699999999997</v>
      </c>
      <c r="R75">
        <v>367.5</v>
      </c>
      <c r="S75">
        <v>2556.0970000000002</v>
      </c>
      <c r="T75">
        <v>2572.5</v>
      </c>
      <c r="U75">
        <v>63.226999999999997</v>
      </c>
      <c r="V75">
        <v>1919.1669999999999</v>
      </c>
      <c r="W75">
        <v>2613.3330000000001</v>
      </c>
      <c r="X75">
        <v>2839.4870000000001</v>
      </c>
      <c r="Y75">
        <v>2817.5</v>
      </c>
      <c r="Z75">
        <v>146.005</v>
      </c>
      <c r="AA75">
        <v>2613.3330000000001</v>
      </c>
      <c r="AB75">
        <v>3430</v>
      </c>
      <c r="AC75">
        <v>2.9</v>
      </c>
      <c r="AD75">
        <v>225.173</v>
      </c>
      <c r="AE75">
        <v>167.68100000000001</v>
      </c>
      <c r="AF75">
        <v>79.474000000000004</v>
      </c>
      <c r="AG75">
        <v>157.74100000000001</v>
      </c>
      <c r="AH75">
        <v>0.97535714285714292</v>
      </c>
      <c r="AI75">
        <v>341.86</v>
      </c>
      <c r="AJ75">
        <v>0.5178571428571429</v>
      </c>
      <c r="AK75">
        <v>3.48</v>
      </c>
      <c r="AL75">
        <v>-22.648</v>
      </c>
      <c r="AM75">
        <v>322.54500000000002</v>
      </c>
      <c r="AN75">
        <v>320.72699999999998</v>
      </c>
      <c r="AO75">
        <v>9723</v>
      </c>
      <c r="AP75">
        <v>320.72699999999998</v>
      </c>
      <c r="AQ75">
        <v>374.18200000000002</v>
      </c>
      <c r="AR75">
        <v>2435.5230000000001</v>
      </c>
      <c r="AS75">
        <v>2405.4549999999999</v>
      </c>
      <c r="AT75">
        <v>70.881</v>
      </c>
      <c r="AU75">
        <v>2138.1819999999998</v>
      </c>
      <c r="AV75">
        <v>2565.8180000000002</v>
      </c>
      <c r="AW75">
        <v>2940</v>
      </c>
      <c r="AX75">
        <v>2940</v>
      </c>
      <c r="AY75">
        <v>163.66300000000001</v>
      </c>
      <c r="AZ75">
        <v>2672.7269999999999</v>
      </c>
      <c r="BA75">
        <v>3367.636</v>
      </c>
      <c r="BB75">
        <v>2.8</v>
      </c>
      <c r="BC75">
        <v>179.62100000000001</v>
      </c>
      <c r="BD75">
        <v>162.774</v>
      </c>
      <c r="BE75">
        <v>47.584000000000003</v>
      </c>
      <c r="BF75">
        <v>158.55199999999999</v>
      </c>
      <c r="BG75">
        <v>0.89457364341085266</v>
      </c>
      <c r="BH75">
        <v>333.36900000000003</v>
      </c>
      <c r="BI75">
        <v>7.9069767441860464E-2</v>
      </c>
      <c r="BJ75">
        <v>4.9740000000000002</v>
      </c>
      <c r="BK75">
        <v>-23.46</v>
      </c>
      <c r="BL75">
        <v>324.78100000000001</v>
      </c>
      <c r="BM75">
        <v>345.30200000000002</v>
      </c>
      <c r="BN75">
        <v>24.411999999999999</v>
      </c>
      <c r="BO75">
        <v>295.97300000000001</v>
      </c>
      <c r="BP75">
        <v>345.30200000000002</v>
      </c>
      <c r="BQ75">
        <v>2507.2109999999998</v>
      </c>
      <c r="BR75">
        <v>2515.7719999999999</v>
      </c>
      <c r="BS75">
        <v>54.662999999999997</v>
      </c>
      <c r="BT75">
        <v>2318.4560000000001</v>
      </c>
      <c r="BU75">
        <v>2565.1010000000001</v>
      </c>
      <c r="BV75">
        <v>3215.38</v>
      </c>
      <c r="BW75">
        <v>3206.3760000000002</v>
      </c>
      <c r="BX75">
        <v>162.279</v>
      </c>
      <c r="BY75">
        <v>2910.4029999999998</v>
      </c>
      <c r="BZ75">
        <v>3601.0070000000001</v>
      </c>
      <c r="CA75">
        <v>2.58</v>
      </c>
      <c r="CB75">
        <v>4</v>
      </c>
      <c r="CC75">
        <v>3</v>
      </c>
      <c r="CD75">
        <v>3</v>
      </c>
      <c r="CE75">
        <v>4</v>
      </c>
      <c r="CF75">
        <v>4</v>
      </c>
    </row>
    <row r="76" spans="1:84" x14ac:dyDescent="0.35">
      <c r="A76" t="s">
        <v>344</v>
      </c>
      <c r="B76" t="str">
        <f t="shared" si="5"/>
        <v xml:space="preserve"> gi_me_2005_07_26_290</v>
      </c>
      <c r="C76" s="1">
        <f t="shared" si="6"/>
        <v>45761</v>
      </c>
      <c r="D76" t="s">
        <v>78</v>
      </c>
      <c r="E76">
        <v>197.63900000000001</v>
      </c>
      <c r="F76">
        <v>199.74199999999999</v>
      </c>
      <c r="G76">
        <v>17.238</v>
      </c>
      <c r="H76">
        <v>98.25</v>
      </c>
      <c r="I76">
        <v>0.79602649006622517</v>
      </c>
      <c r="J76">
        <v>212.60300000000001</v>
      </c>
      <c r="K76">
        <v>0.33410596026490064</v>
      </c>
      <c r="L76">
        <v>2.04</v>
      </c>
      <c r="M76">
        <v>-18.652999999999999</v>
      </c>
      <c r="N76">
        <v>744.94100000000003</v>
      </c>
      <c r="O76">
        <v>750.63800000000003</v>
      </c>
      <c r="P76">
        <v>40.762999999999998</v>
      </c>
      <c r="Q76">
        <v>656.80899999999997</v>
      </c>
      <c r="R76">
        <v>844.46799999999996</v>
      </c>
      <c r="S76">
        <v>1012.24</v>
      </c>
      <c r="T76">
        <v>1032.1279999999999</v>
      </c>
      <c r="U76">
        <v>28.873000000000001</v>
      </c>
      <c r="V76">
        <v>985.21299999999997</v>
      </c>
      <c r="W76">
        <v>1125.9570000000001</v>
      </c>
      <c r="X76">
        <v>2761.9470000000001</v>
      </c>
      <c r="Y76">
        <v>2767.9789999999998</v>
      </c>
      <c r="Z76">
        <v>114.482</v>
      </c>
      <c r="AA76">
        <v>2298.83</v>
      </c>
      <c r="AB76">
        <v>3049.4679999999998</v>
      </c>
      <c r="AC76">
        <v>3.02</v>
      </c>
      <c r="AD76">
        <v>200.81</v>
      </c>
      <c r="AE76">
        <v>199.87100000000001</v>
      </c>
      <c r="AF76">
        <v>4.7910000000000004</v>
      </c>
      <c r="AG76">
        <v>190.43799999999999</v>
      </c>
      <c r="AH76">
        <v>0.88198529411764703</v>
      </c>
      <c r="AI76">
        <v>215.27199999999999</v>
      </c>
      <c r="AJ76">
        <v>2.316176470588235E-2</v>
      </c>
      <c r="AK76">
        <v>0.42099999999999999</v>
      </c>
      <c r="AL76">
        <v>-29.013999999999999</v>
      </c>
      <c r="AM76">
        <v>322.01499999999999</v>
      </c>
      <c r="AN76">
        <v>338.11599999999999</v>
      </c>
      <c r="AO76">
        <v>23.045999999999999</v>
      </c>
      <c r="AP76">
        <v>289.81400000000002</v>
      </c>
      <c r="AQ76">
        <v>338.11599999999999</v>
      </c>
      <c r="AW76">
        <v>3721.1350000000002</v>
      </c>
      <c r="AX76">
        <v>3719.277</v>
      </c>
      <c r="AY76">
        <v>134.405</v>
      </c>
      <c r="AZ76">
        <v>3236.2539999999999</v>
      </c>
      <c r="BA76">
        <v>4153.9979999999996</v>
      </c>
      <c r="BB76">
        <v>2.72</v>
      </c>
      <c r="BC76">
        <v>207.85499999999999</v>
      </c>
      <c r="BD76">
        <v>209.28800000000001</v>
      </c>
      <c r="BE76">
        <v>16.523</v>
      </c>
      <c r="BF76">
        <v>105.611</v>
      </c>
      <c r="BG76">
        <v>1.8348623853211007E-2</v>
      </c>
      <c r="BH76">
        <v>267.27300000000002</v>
      </c>
      <c r="BI76">
        <v>0</v>
      </c>
      <c r="BJ76">
        <v>2.52</v>
      </c>
      <c r="BK76">
        <v>-29.404</v>
      </c>
      <c r="BL76">
        <v>381.21100000000001</v>
      </c>
      <c r="BM76">
        <v>399.09500000000003</v>
      </c>
      <c r="BN76">
        <v>30.16</v>
      </c>
      <c r="BO76">
        <v>349.20800000000003</v>
      </c>
      <c r="BP76">
        <v>548.75599999999997</v>
      </c>
      <c r="BQ76">
        <v>1047.624</v>
      </c>
      <c r="BR76">
        <v>1047.624</v>
      </c>
      <c r="BS76">
        <v>66.733999999999995</v>
      </c>
      <c r="BT76">
        <v>997.73800000000006</v>
      </c>
      <c r="BU76">
        <v>1247.172</v>
      </c>
      <c r="BV76">
        <v>3704.683</v>
      </c>
      <c r="BW76">
        <v>3741.5160000000001</v>
      </c>
      <c r="BX76">
        <v>235.42400000000001</v>
      </c>
      <c r="BY76">
        <v>2893.4389999999999</v>
      </c>
      <c r="BZ76">
        <v>4190.4979999999996</v>
      </c>
      <c r="CA76">
        <v>2.1800000000000002</v>
      </c>
      <c r="CB76">
        <v>6</v>
      </c>
      <c r="CC76">
        <v>2</v>
      </c>
      <c r="CD76">
        <v>0</v>
      </c>
      <c r="CE76">
        <v>3</v>
      </c>
      <c r="CF76">
        <v>1</v>
      </c>
    </row>
    <row r="77" spans="1:84" x14ac:dyDescent="0.35">
      <c r="A77" t="s">
        <v>272</v>
      </c>
      <c r="B77" t="str">
        <f t="shared" si="5"/>
        <v xml:space="preserve"> gi_mo_2000_12_02_831</v>
      </c>
      <c r="C77" s="1">
        <f t="shared" si="6"/>
        <v>45789</v>
      </c>
      <c r="D77" t="s">
        <v>78</v>
      </c>
      <c r="E77">
        <v>217.62200000000001</v>
      </c>
      <c r="F77">
        <v>217.85499999999999</v>
      </c>
      <c r="G77">
        <v>2.23</v>
      </c>
      <c r="H77">
        <v>210</v>
      </c>
      <c r="I77">
        <v>3.6021505376344083E-2</v>
      </c>
      <c r="J77">
        <v>224.18299999999999</v>
      </c>
      <c r="K77">
        <v>0</v>
      </c>
      <c r="L77">
        <v>0.38200000000000001</v>
      </c>
      <c r="M77">
        <v>-31.623000000000001</v>
      </c>
      <c r="N77">
        <v>359.86</v>
      </c>
      <c r="O77">
        <v>368.37700000000001</v>
      </c>
      <c r="P77">
        <v>39.207000000000001</v>
      </c>
      <c r="Q77">
        <v>315.75200000000001</v>
      </c>
      <c r="R77">
        <v>473.62799999999999</v>
      </c>
      <c r="S77">
        <v>994.08299999999997</v>
      </c>
      <c r="T77">
        <v>999.88099999999997</v>
      </c>
      <c r="U77">
        <v>53.643000000000001</v>
      </c>
      <c r="V77">
        <v>947.255</v>
      </c>
      <c r="W77">
        <v>1315.6320000000001</v>
      </c>
      <c r="X77">
        <v>2620.9569999999999</v>
      </c>
      <c r="Y77">
        <v>2578.64</v>
      </c>
      <c r="Z77">
        <v>197.726</v>
      </c>
      <c r="AA77">
        <v>2105.0120000000002</v>
      </c>
      <c r="AB77">
        <v>3052.2669999999998</v>
      </c>
      <c r="AC77">
        <v>3.72</v>
      </c>
      <c r="AD77">
        <v>221.47399999999999</v>
      </c>
      <c r="AE77">
        <v>221.767</v>
      </c>
      <c r="AF77">
        <v>1.526</v>
      </c>
      <c r="AG77">
        <v>212.60300000000001</v>
      </c>
      <c r="AH77">
        <v>0.9895522388059701</v>
      </c>
      <c r="AI77">
        <v>223.858</v>
      </c>
      <c r="AJ77">
        <v>0.14738805970149255</v>
      </c>
      <c r="AK77">
        <v>0.27300000000000002</v>
      </c>
      <c r="AL77">
        <v>-31.97</v>
      </c>
      <c r="AM77">
        <v>375.39499999999998</v>
      </c>
      <c r="AN77">
        <v>374.63600000000002</v>
      </c>
      <c r="AO77">
        <v>6351</v>
      </c>
      <c r="AP77">
        <v>374.63600000000002</v>
      </c>
      <c r="AQ77">
        <v>428.15499999999997</v>
      </c>
      <c r="AR77">
        <v>1990.2529999999999</v>
      </c>
      <c r="AS77">
        <v>2060.498</v>
      </c>
      <c r="AT77">
        <v>323.02499999999998</v>
      </c>
      <c r="AU77">
        <v>1391.5050000000001</v>
      </c>
      <c r="AV77">
        <v>2408.3739999999998</v>
      </c>
      <c r="AW77">
        <v>3239.0549999999998</v>
      </c>
      <c r="AX77">
        <v>3211.165</v>
      </c>
      <c r="AY77">
        <v>98.688999999999993</v>
      </c>
      <c r="AZ77">
        <v>2943.5680000000002</v>
      </c>
      <c r="BA77">
        <v>3532.2820000000002</v>
      </c>
      <c r="BB77">
        <v>2.68</v>
      </c>
      <c r="BC77">
        <v>219.46</v>
      </c>
      <c r="BD77">
        <v>220.029</v>
      </c>
      <c r="BE77">
        <v>2.5870000000000002</v>
      </c>
      <c r="BF77">
        <v>208.58099999999999</v>
      </c>
      <c r="BG77">
        <v>6.2499999999999995E-3</v>
      </c>
      <c r="BH77">
        <v>223.04900000000001</v>
      </c>
      <c r="BI77">
        <v>0.93782894736842104</v>
      </c>
      <c r="BJ77">
        <v>0.33</v>
      </c>
      <c r="BK77">
        <v>-30.048999999999999</v>
      </c>
      <c r="BL77">
        <v>384.57299999999998</v>
      </c>
      <c r="BM77">
        <v>370.58800000000002</v>
      </c>
      <c r="BN77">
        <v>23.414000000000001</v>
      </c>
      <c r="BO77">
        <v>370.58800000000002</v>
      </c>
      <c r="BP77">
        <v>423.529</v>
      </c>
      <c r="BQ77">
        <v>997.17100000000005</v>
      </c>
      <c r="BR77">
        <v>1005.8819999999999</v>
      </c>
      <c r="BS77">
        <v>61.478999999999999</v>
      </c>
      <c r="BT77">
        <v>952.94100000000003</v>
      </c>
      <c r="BU77">
        <v>1376.471</v>
      </c>
      <c r="BV77">
        <v>3262.7080000000001</v>
      </c>
      <c r="BW77">
        <v>3229.4119999999998</v>
      </c>
      <c r="BX77">
        <v>170.41300000000001</v>
      </c>
      <c r="BY77">
        <v>2858.8240000000001</v>
      </c>
      <c r="BZ77">
        <v>3705.8820000000001</v>
      </c>
      <c r="CA77">
        <v>3.04</v>
      </c>
      <c r="CB77">
        <v>2</v>
      </c>
      <c r="CC77">
        <v>1</v>
      </c>
      <c r="CD77">
        <v>0</v>
      </c>
      <c r="CE77">
        <v>2</v>
      </c>
      <c r="CF77">
        <v>0</v>
      </c>
    </row>
    <row r="78" spans="1:84" x14ac:dyDescent="0.35">
      <c r="A78" t="s">
        <v>345</v>
      </c>
      <c r="B78" t="str">
        <f t="shared" si="5"/>
        <v xml:space="preserve"> gi_ro_2004_07_30_589</v>
      </c>
      <c r="C78" s="1">
        <f t="shared" si="6"/>
        <v>45761</v>
      </c>
      <c r="D78" t="s">
        <v>78</v>
      </c>
      <c r="E78">
        <v>195.37299999999999</v>
      </c>
      <c r="F78">
        <v>195.38</v>
      </c>
      <c r="G78">
        <v>2.5910000000000002</v>
      </c>
      <c r="H78">
        <v>190.791</v>
      </c>
      <c r="I78">
        <v>0.98</v>
      </c>
      <c r="J78">
        <v>213.48500000000001</v>
      </c>
      <c r="K78">
        <v>0</v>
      </c>
      <c r="L78">
        <v>0.48599999999999999</v>
      </c>
      <c r="M78">
        <v>-29.754999999999999</v>
      </c>
      <c r="N78">
        <v>500.28500000000003</v>
      </c>
      <c r="O78">
        <v>470.65100000000001</v>
      </c>
      <c r="P78">
        <v>109.229</v>
      </c>
      <c r="Q78">
        <v>282.39100000000002</v>
      </c>
      <c r="R78">
        <v>1035.432</v>
      </c>
      <c r="S78">
        <v>1105.1790000000001</v>
      </c>
      <c r="T78">
        <v>1082.4970000000001</v>
      </c>
      <c r="U78">
        <v>72.153999999999996</v>
      </c>
      <c r="V78">
        <v>1035.432</v>
      </c>
      <c r="W78">
        <v>1553.1479999999999</v>
      </c>
      <c r="X78">
        <v>2712.1970000000001</v>
      </c>
      <c r="Y78">
        <v>2682.7109999999998</v>
      </c>
      <c r="Z78">
        <v>119.589</v>
      </c>
      <c r="AA78">
        <v>2494.4499999999998</v>
      </c>
      <c r="AB78">
        <v>3106.297</v>
      </c>
      <c r="AC78">
        <v>1.8</v>
      </c>
      <c r="AD78">
        <v>196.559</v>
      </c>
      <c r="AE78">
        <v>196.125</v>
      </c>
      <c r="AF78">
        <v>2.145</v>
      </c>
      <c r="AG78">
        <v>193.542</v>
      </c>
      <c r="AH78">
        <v>0.14010989010989011</v>
      </c>
      <c r="AI78">
        <v>211.583</v>
      </c>
      <c r="AJ78">
        <v>0</v>
      </c>
      <c r="AK78">
        <v>0.39700000000000002</v>
      </c>
      <c r="AL78">
        <v>-32.378999999999998</v>
      </c>
      <c r="AM78">
        <v>330.19400000000002</v>
      </c>
      <c r="AN78">
        <v>333.36900000000003</v>
      </c>
      <c r="AO78">
        <v>12.297000000000001</v>
      </c>
      <c r="AP78">
        <v>285.745</v>
      </c>
      <c r="AQ78">
        <v>333.36900000000003</v>
      </c>
      <c r="AR78">
        <v>2172.6280000000002</v>
      </c>
      <c r="AS78">
        <v>2190.7130000000002</v>
      </c>
      <c r="AT78">
        <v>68.762</v>
      </c>
      <c r="AU78">
        <v>2000.2159999999999</v>
      </c>
      <c r="AV78">
        <v>2333.585</v>
      </c>
      <c r="AW78">
        <v>3165.6080000000002</v>
      </c>
      <c r="AX78">
        <v>3143.1970000000001</v>
      </c>
      <c r="AY78">
        <v>78.319000000000003</v>
      </c>
      <c r="AZ78">
        <v>2952.7</v>
      </c>
      <c r="BA78">
        <v>3286.069</v>
      </c>
      <c r="BB78">
        <v>1.82</v>
      </c>
      <c r="BC78">
        <v>197.78200000000001</v>
      </c>
      <c r="BD78">
        <v>197.37899999999999</v>
      </c>
      <c r="BE78">
        <v>2.976</v>
      </c>
      <c r="BF78">
        <v>194.273</v>
      </c>
      <c r="BG78">
        <v>0.20670731707317075</v>
      </c>
      <c r="BH78">
        <v>214.673</v>
      </c>
      <c r="BI78">
        <v>0.99878048780487805</v>
      </c>
      <c r="BJ78">
        <v>0.47899999999999998</v>
      </c>
      <c r="BK78">
        <v>-28.611000000000001</v>
      </c>
      <c r="BL78">
        <v>331.06799999999998</v>
      </c>
      <c r="BM78">
        <v>333.01</v>
      </c>
      <c r="BN78">
        <v>9511</v>
      </c>
      <c r="BO78">
        <v>285.43700000000001</v>
      </c>
      <c r="BP78">
        <v>333.01</v>
      </c>
      <c r="BQ78">
        <v>1054.316</v>
      </c>
      <c r="BR78">
        <v>999.029</v>
      </c>
      <c r="BS78">
        <v>194.32599999999999</v>
      </c>
      <c r="BT78">
        <v>999.029</v>
      </c>
      <c r="BU78">
        <v>2235.922</v>
      </c>
      <c r="BV78">
        <v>3100.8829999999998</v>
      </c>
      <c r="BW78">
        <v>3139.806</v>
      </c>
      <c r="BX78">
        <v>248.125</v>
      </c>
      <c r="BY78">
        <v>2521.3589999999999</v>
      </c>
      <c r="BZ78">
        <v>3567.9609999999998</v>
      </c>
      <c r="CA78">
        <v>1.64</v>
      </c>
      <c r="CB78">
        <v>4</v>
      </c>
      <c r="CC78">
        <v>1</v>
      </c>
      <c r="CD78">
        <v>0</v>
      </c>
      <c r="CE78">
        <v>2</v>
      </c>
      <c r="CF78">
        <v>2</v>
      </c>
    </row>
    <row r="79" spans="1:84" x14ac:dyDescent="0.35">
      <c r="A79" t="s">
        <v>346</v>
      </c>
      <c r="B79" t="str">
        <f t="shared" si="5"/>
        <v xml:space="preserve"> gi_ru_2005_03_08_033</v>
      </c>
      <c r="C79" s="1">
        <f t="shared" si="6"/>
        <v>45761</v>
      </c>
      <c r="D79" t="s">
        <v>78</v>
      </c>
      <c r="E79">
        <v>160.709</v>
      </c>
      <c r="F79">
        <v>158.91900000000001</v>
      </c>
      <c r="G79">
        <v>4.3079999999999998</v>
      </c>
      <c r="H79">
        <v>156.86000000000001</v>
      </c>
      <c r="I79">
        <v>0.5348484848484848</v>
      </c>
      <c r="J79">
        <v>173.03800000000001</v>
      </c>
      <c r="K79">
        <v>0.12272727272727273</v>
      </c>
      <c r="L79">
        <v>1.554</v>
      </c>
      <c r="M79">
        <v>-20.643999999999998</v>
      </c>
      <c r="N79">
        <v>732.11599999999999</v>
      </c>
      <c r="O79">
        <v>730.51400000000001</v>
      </c>
      <c r="P79">
        <v>57.228999999999999</v>
      </c>
      <c r="Q79">
        <v>653.61800000000005</v>
      </c>
      <c r="R79">
        <v>922.755</v>
      </c>
      <c r="S79">
        <v>1045.789</v>
      </c>
      <c r="T79">
        <v>1038.0989999999999</v>
      </c>
      <c r="U79">
        <v>32.046999999999997</v>
      </c>
      <c r="V79">
        <v>999.65099999999995</v>
      </c>
      <c r="W79">
        <v>1153.444</v>
      </c>
      <c r="X79">
        <v>3035.8</v>
      </c>
      <c r="Y79">
        <v>3037.402</v>
      </c>
      <c r="Z79">
        <v>93.135000000000005</v>
      </c>
      <c r="AA79">
        <v>2845.1610000000001</v>
      </c>
      <c r="AB79">
        <v>3191.194</v>
      </c>
      <c r="AC79">
        <v>0.66</v>
      </c>
      <c r="AD79">
        <v>169.334</v>
      </c>
      <c r="AE79">
        <v>166.23599999999999</v>
      </c>
      <c r="AF79">
        <v>8.5549999999999997</v>
      </c>
      <c r="AG79">
        <v>164.29</v>
      </c>
      <c r="AH79">
        <v>0.37999999999999995</v>
      </c>
      <c r="AI79">
        <v>198.012</v>
      </c>
      <c r="AJ79">
        <v>0</v>
      </c>
      <c r="AK79">
        <v>0.97199999999999998</v>
      </c>
      <c r="AL79">
        <v>-25.588000000000001</v>
      </c>
      <c r="AM79">
        <v>300.12599999999998</v>
      </c>
      <c r="AN79">
        <v>285.30500000000001</v>
      </c>
      <c r="AO79">
        <v>20.068000000000001</v>
      </c>
      <c r="AP79">
        <v>285.30500000000001</v>
      </c>
      <c r="AQ79">
        <v>326.06299999999999</v>
      </c>
      <c r="AR79">
        <v>2445.471</v>
      </c>
      <c r="AS79">
        <v>2526.9870000000001</v>
      </c>
      <c r="AT79">
        <v>209.357</v>
      </c>
      <c r="AU79">
        <v>1752.588</v>
      </c>
      <c r="AV79">
        <v>2567.7449999999999</v>
      </c>
      <c r="AW79">
        <v>3154.1320000000001</v>
      </c>
      <c r="AX79">
        <v>3179.1129999999998</v>
      </c>
      <c r="AY79">
        <v>157.38999999999999</v>
      </c>
      <c r="AZ79">
        <v>2771.5340000000001</v>
      </c>
      <c r="BA79">
        <v>3505.1759999999999</v>
      </c>
      <c r="BB79">
        <v>0.8</v>
      </c>
      <c r="BC79">
        <v>167.96600000000001</v>
      </c>
      <c r="BD79">
        <v>166.32499999999999</v>
      </c>
      <c r="BE79">
        <v>5.1239999999999997</v>
      </c>
      <c r="BF79">
        <v>164.37700000000001</v>
      </c>
      <c r="BG79">
        <v>0.91627906976744189</v>
      </c>
      <c r="BH79">
        <v>191.739</v>
      </c>
      <c r="BI79">
        <v>0</v>
      </c>
      <c r="BJ79">
        <v>0.96699999999999997</v>
      </c>
      <c r="BK79">
        <v>-24.914000000000001</v>
      </c>
      <c r="BL79">
        <v>343.18</v>
      </c>
      <c r="BM79">
        <v>324.26499999999999</v>
      </c>
      <c r="BN79">
        <v>20.567</v>
      </c>
      <c r="BO79">
        <v>324.26499999999999</v>
      </c>
      <c r="BP79">
        <v>364.798</v>
      </c>
      <c r="BQ79">
        <v>1030.6990000000001</v>
      </c>
      <c r="BR79">
        <v>972.79399999999998</v>
      </c>
      <c r="BS79">
        <v>109.819</v>
      </c>
      <c r="BT79">
        <v>972.79399999999998</v>
      </c>
      <c r="BU79">
        <v>1337.5920000000001</v>
      </c>
      <c r="BV79">
        <v>3249.8</v>
      </c>
      <c r="BW79">
        <v>3262.9140000000002</v>
      </c>
      <c r="BX79">
        <v>144.07499999999999</v>
      </c>
      <c r="BY79">
        <v>2837.3159999999998</v>
      </c>
      <c r="BZ79">
        <v>3485.846</v>
      </c>
      <c r="CA79">
        <v>0.86</v>
      </c>
    </row>
    <row r="80" spans="1:84" x14ac:dyDescent="0.35">
      <c r="A80" t="s">
        <v>347</v>
      </c>
      <c r="B80" t="str">
        <f t="shared" si="5"/>
        <v xml:space="preserve"> gi_so_2005_09_11_398</v>
      </c>
      <c r="C80" s="1">
        <f t="shared" si="6"/>
        <v>45761</v>
      </c>
      <c r="D80" t="s">
        <v>78</v>
      </c>
      <c r="E80">
        <v>197.91900000000001</v>
      </c>
      <c r="F80">
        <v>197.25200000000001</v>
      </c>
      <c r="G80">
        <v>2.3769999999999998</v>
      </c>
      <c r="H80">
        <v>195.256</v>
      </c>
      <c r="I80">
        <v>0.49075630252100838</v>
      </c>
      <c r="J80">
        <v>209.005</v>
      </c>
      <c r="K80">
        <v>8.4033613445378165E-3</v>
      </c>
      <c r="L80">
        <v>0.30299999999999999</v>
      </c>
      <c r="M80">
        <v>-29.52</v>
      </c>
      <c r="N80">
        <v>420.87599999999998</v>
      </c>
      <c r="O80">
        <v>427.23399999999998</v>
      </c>
      <c r="P80">
        <v>39.534999999999997</v>
      </c>
      <c r="Q80">
        <v>379.76299999999998</v>
      </c>
      <c r="R80">
        <v>617.11500000000001</v>
      </c>
      <c r="S80">
        <v>1164.329</v>
      </c>
      <c r="T80">
        <v>1139.29</v>
      </c>
      <c r="U80">
        <v>42.658999999999999</v>
      </c>
      <c r="V80">
        <v>1091.819</v>
      </c>
      <c r="W80">
        <v>1281.701</v>
      </c>
      <c r="X80">
        <v>2430.3150000000001</v>
      </c>
      <c r="Y80">
        <v>2420.9899999999998</v>
      </c>
      <c r="Z80">
        <v>124.187</v>
      </c>
      <c r="AA80">
        <v>2183.6379999999999</v>
      </c>
      <c r="AB80">
        <v>3038.105</v>
      </c>
      <c r="AC80">
        <v>2.38</v>
      </c>
      <c r="AD80">
        <v>210.59800000000001</v>
      </c>
      <c r="AE80">
        <v>210.286</v>
      </c>
      <c r="AF80">
        <v>2.8039999999999998</v>
      </c>
      <c r="AG80">
        <v>205.93700000000001</v>
      </c>
      <c r="AH80">
        <v>0.9511627906976744</v>
      </c>
      <c r="AI80">
        <v>224.50899999999999</v>
      </c>
      <c r="AJ80">
        <v>0.98604651162790702</v>
      </c>
      <c r="AK80">
        <v>0.60499999999999998</v>
      </c>
      <c r="AL80">
        <v>-28.611999999999998</v>
      </c>
      <c r="AM80">
        <v>393.72899999999998</v>
      </c>
      <c r="AN80">
        <v>405.517</v>
      </c>
      <c r="AO80">
        <v>22.901</v>
      </c>
      <c r="AP80">
        <v>304.13799999999998</v>
      </c>
      <c r="AQ80">
        <v>405.517</v>
      </c>
      <c r="AR80">
        <v>2256.279</v>
      </c>
      <c r="AS80">
        <v>2281.0340000000001</v>
      </c>
      <c r="AT80">
        <v>104.53400000000001</v>
      </c>
      <c r="AU80">
        <v>1824.828</v>
      </c>
      <c r="AV80">
        <v>2331.7240000000002</v>
      </c>
      <c r="AW80">
        <v>2467.2890000000002</v>
      </c>
      <c r="AX80">
        <v>2483.7930000000001</v>
      </c>
      <c r="AY80">
        <v>86.037999999999997</v>
      </c>
      <c r="AZ80">
        <v>2179.6550000000002</v>
      </c>
      <c r="BA80">
        <v>2686.5520000000001</v>
      </c>
      <c r="BB80">
        <v>1.72</v>
      </c>
      <c r="BC80">
        <v>210.381</v>
      </c>
      <c r="BD80">
        <v>210.57300000000001</v>
      </c>
      <c r="BE80">
        <v>4.4710000000000001</v>
      </c>
      <c r="BF80">
        <v>196.875</v>
      </c>
      <c r="BG80">
        <v>0.97500000000000009</v>
      </c>
      <c r="BH80">
        <v>228.49700000000001</v>
      </c>
      <c r="BI80">
        <v>0</v>
      </c>
      <c r="BJ80">
        <v>0.66900000000000004</v>
      </c>
      <c r="BK80">
        <v>-30.096</v>
      </c>
      <c r="BL80">
        <v>404.68900000000002</v>
      </c>
      <c r="BM80">
        <v>410.233</v>
      </c>
      <c r="BN80">
        <v>16.032</v>
      </c>
      <c r="BO80">
        <v>358.95299999999997</v>
      </c>
      <c r="BP80">
        <v>410.233</v>
      </c>
      <c r="BQ80">
        <v>1021.479</v>
      </c>
      <c r="BR80">
        <v>974.30200000000002</v>
      </c>
      <c r="BS80">
        <v>95.843000000000004</v>
      </c>
      <c r="BT80">
        <v>974.30200000000002</v>
      </c>
      <c r="BU80">
        <v>1384.5350000000001</v>
      </c>
      <c r="BV80">
        <v>2875.7860000000001</v>
      </c>
      <c r="BW80">
        <v>2871.6280000000002</v>
      </c>
      <c r="BX80">
        <v>141.203</v>
      </c>
      <c r="BY80">
        <v>2563.953</v>
      </c>
      <c r="BZ80">
        <v>3230.5810000000001</v>
      </c>
      <c r="CA80">
        <v>1.48</v>
      </c>
      <c r="CB80">
        <v>6</v>
      </c>
      <c r="CC80">
        <v>3</v>
      </c>
      <c r="CD80">
        <v>0</v>
      </c>
      <c r="CE80">
        <v>2</v>
      </c>
      <c r="CF80">
        <v>0</v>
      </c>
    </row>
    <row r="81" spans="1:84" x14ac:dyDescent="0.35">
      <c r="A81" t="s">
        <v>348</v>
      </c>
      <c r="B81" t="str">
        <f t="shared" si="5"/>
        <v xml:space="preserve"> gi_to_2004_06_25_982</v>
      </c>
      <c r="C81" s="1">
        <f t="shared" si="6"/>
        <v>45761</v>
      </c>
      <c r="D81" t="s">
        <v>78</v>
      </c>
      <c r="E81">
        <v>200.44499999999999</v>
      </c>
      <c r="F81">
        <v>199.935</v>
      </c>
      <c r="G81">
        <v>2.948</v>
      </c>
      <c r="H81">
        <v>195.38</v>
      </c>
      <c r="I81">
        <v>0.9976878612716763</v>
      </c>
      <c r="J81">
        <v>215.422</v>
      </c>
      <c r="K81">
        <v>1.1849710982658961E-2</v>
      </c>
      <c r="L81">
        <v>0.35499999999999998</v>
      </c>
      <c r="M81">
        <v>-30.286999999999999</v>
      </c>
      <c r="N81">
        <v>813.00900000000001</v>
      </c>
      <c r="O81">
        <v>822.03899999999999</v>
      </c>
      <c r="P81">
        <v>58.466000000000001</v>
      </c>
      <c r="Q81">
        <v>435.197</v>
      </c>
      <c r="R81">
        <v>870.39499999999998</v>
      </c>
      <c r="S81">
        <v>1078.442</v>
      </c>
      <c r="T81">
        <v>1063.816</v>
      </c>
      <c r="U81">
        <v>34.124000000000002</v>
      </c>
      <c r="V81">
        <v>1015.461</v>
      </c>
      <c r="W81">
        <v>1257.2370000000001</v>
      </c>
      <c r="X81">
        <v>3139.3049999999998</v>
      </c>
      <c r="Y81">
        <v>3239.8029999999999</v>
      </c>
      <c r="Z81">
        <v>523.27200000000005</v>
      </c>
      <c r="AA81">
        <v>2079.2759999999998</v>
      </c>
      <c r="AB81">
        <v>4013.4870000000001</v>
      </c>
      <c r="AC81">
        <v>3.46</v>
      </c>
      <c r="AD81">
        <v>211.22</v>
      </c>
      <c r="AE81">
        <v>209.857</v>
      </c>
      <c r="AF81">
        <v>6.5620000000000003</v>
      </c>
      <c r="AG81">
        <v>202.161</v>
      </c>
      <c r="AH81">
        <v>0.95176470588235307</v>
      </c>
      <c r="AI81">
        <v>245.39</v>
      </c>
      <c r="AJ81">
        <v>0</v>
      </c>
      <c r="AK81">
        <v>0.434</v>
      </c>
      <c r="AL81">
        <v>-30.472999999999999</v>
      </c>
      <c r="AM81">
        <v>324.97699999999998</v>
      </c>
      <c r="AN81">
        <v>305.89600000000002</v>
      </c>
      <c r="AO81">
        <v>24.745000000000001</v>
      </c>
      <c r="AP81">
        <v>305.89600000000002</v>
      </c>
      <c r="AQ81">
        <v>356.87900000000002</v>
      </c>
      <c r="AR81">
        <v>2047.356</v>
      </c>
      <c r="AS81">
        <v>1988.3240000000001</v>
      </c>
      <c r="AT81">
        <v>181.65799999999999</v>
      </c>
      <c r="AU81">
        <v>1784.393</v>
      </c>
      <c r="AV81">
        <v>2345.2020000000002</v>
      </c>
      <c r="AW81">
        <v>4189.7669999999998</v>
      </c>
      <c r="AX81">
        <v>4180.5780000000004</v>
      </c>
      <c r="AY81">
        <v>95.453000000000003</v>
      </c>
      <c r="AZ81">
        <v>3670.7510000000002</v>
      </c>
      <c r="BA81">
        <v>4333.5259999999998</v>
      </c>
      <c r="BB81">
        <v>3.4</v>
      </c>
      <c r="BC81">
        <v>205.40799999999999</v>
      </c>
      <c r="BD81">
        <v>204.98</v>
      </c>
      <c r="BE81">
        <v>3.7669999999999999</v>
      </c>
      <c r="BF81">
        <v>192.09700000000001</v>
      </c>
      <c r="BG81">
        <v>0.99171428571428577</v>
      </c>
      <c r="BH81">
        <v>230.20099999999999</v>
      </c>
      <c r="BI81">
        <v>5.7142857142857143E-3</v>
      </c>
      <c r="BJ81">
        <v>0.39100000000000001</v>
      </c>
      <c r="BK81">
        <v>-31.25</v>
      </c>
      <c r="BL81">
        <v>385.55599999999998</v>
      </c>
      <c r="BM81">
        <v>396.404</v>
      </c>
      <c r="BN81">
        <v>21.927</v>
      </c>
      <c r="BO81">
        <v>346.85399999999998</v>
      </c>
      <c r="BP81">
        <v>445.95499999999998</v>
      </c>
      <c r="BQ81">
        <v>1090.1120000000001</v>
      </c>
      <c r="BR81">
        <v>991.01099999999997</v>
      </c>
      <c r="BS81">
        <v>171.648</v>
      </c>
      <c r="BT81">
        <v>991.01099999999997</v>
      </c>
      <c r="BU81">
        <v>1288.3150000000001</v>
      </c>
      <c r="BV81">
        <v>4341.7240000000002</v>
      </c>
      <c r="BW81">
        <v>4360.4489999999996</v>
      </c>
      <c r="BX81">
        <v>145.40100000000001</v>
      </c>
      <c r="BY81">
        <v>3518.09</v>
      </c>
      <c r="BZ81">
        <v>4707.3029999999999</v>
      </c>
      <c r="CA81">
        <v>3.5</v>
      </c>
      <c r="CB81">
        <v>6</v>
      </c>
      <c r="CC81">
        <v>0</v>
      </c>
      <c r="CD81">
        <v>0</v>
      </c>
      <c r="CE81">
        <v>1</v>
      </c>
      <c r="CF81">
        <v>4</v>
      </c>
    </row>
    <row r="82" spans="1:84" x14ac:dyDescent="0.35">
      <c r="A82" t="s">
        <v>349</v>
      </c>
      <c r="B82" t="str">
        <f t="shared" si="5"/>
        <v xml:space="preserve"> gi_tr_2005_09_08_335</v>
      </c>
      <c r="C82" s="1">
        <f t="shared" si="6"/>
        <v>45761</v>
      </c>
      <c r="D82" t="s">
        <v>78</v>
      </c>
      <c r="E82">
        <v>190.965</v>
      </c>
      <c r="F82">
        <v>189.96899999999999</v>
      </c>
      <c r="G82">
        <v>5.86</v>
      </c>
      <c r="H82">
        <v>184.96100000000001</v>
      </c>
      <c r="I82">
        <v>0.82692307692307687</v>
      </c>
      <c r="J82">
        <v>239.67400000000001</v>
      </c>
      <c r="K82">
        <v>0</v>
      </c>
      <c r="L82">
        <v>0.39800000000000002</v>
      </c>
      <c r="M82">
        <v>-29.486999999999998</v>
      </c>
      <c r="N82">
        <v>516.45899999999995</v>
      </c>
      <c r="O82">
        <v>500.10300000000001</v>
      </c>
      <c r="P82">
        <v>67.355999999999995</v>
      </c>
      <c r="Q82">
        <v>454.63900000000001</v>
      </c>
      <c r="R82">
        <v>954.74199999999996</v>
      </c>
      <c r="S82">
        <v>1132.9939999999999</v>
      </c>
      <c r="T82">
        <v>1136.598</v>
      </c>
      <c r="U82">
        <v>82.132999999999996</v>
      </c>
      <c r="V82">
        <v>1000.206</v>
      </c>
      <c r="W82">
        <v>1773.0930000000001</v>
      </c>
      <c r="X82">
        <v>2746.9630000000002</v>
      </c>
      <c r="Y82">
        <v>2727.835</v>
      </c>
      <c r="Z82">
        <v>178.76</v>
      </c>
      <c r="AA82">
        <v>2364.1239999999998</v>
      </c>
      <c r="AB82">
        <v>3409.7939999999999</v>
      </c>
      <c r="AC82">
        <v>3.64</v>
      </c>
      <c r="AD82">
        <v>188.39699999999999</v>
      </c>
      <c r="AE82">
        <v>187.66</v>
      </c>
      <c r="AF82">
        <v>4.6989999999999998</v>
      </c>
      <c r="AG82">
        <v>184.07900000000001</v>
      </c>
      <c r="AH82">
        <v>0.84155844155844162</v>
      </c>
      <c r="AI82">
        <v>225.65799999999999</v>
      </c>
      <c r="AJ82">
        <v>0</v>
      </c>
      <c r="AK82">
        <v>0.437</v>
      </c>
      <c r="AL82">
        <v>-27.992999999999999</v>
      </c>
      <c r="AM82">
        <v>357.41699999999997</v>
      </c>
      <c r="AN82">
        <v>357.80900000000003</v>
      </c>
      <c r="AO82">
        <v>4189</v>
      </c>
      <c r="AP82">
        <v>313.08300000000003</v>
      </c>
      <c r="AQ82">
        <v>357.80900000000003</v>
      </c>
      <c r="AR82">
        <v>2392.6840000000002</v>
      </c>
      <c r="AS82">
        <v>2415.2130000000002</v>
      </c>
      <c r="AT82">
        <v>29.866</v>
      </c>
      <c r="AU82">
        <v>2325.761</v>
      </c>
      <c r="AV82">
        <v>2459.9389999999999</v>
      </c>
      <c r="AW82">
        <v>3953.99</v>
      </c>
      <c r="AX82">
        <v>3980.6289999999999</v>
      </c>
      <c r="AY82">
        <v>131.036</v>
      </c>
      <c r="AZ82">
        <v>3399.1889999999999</v>
      </c>
      <c r="BA82">
        <v>4248.9859999999999</v>
      </c>
      <c r="BB82">
        <v>3.08</v>
      </c>
      <c r="BC82">
        <v>186.30600000000001</v>
      </c>
      <c r="BD82">
        <v>185.18299999999999</v>
      </c>
      <c r="BE82">
        <v>4.68</v>
      </c>
      <c r="BF82">
        <v>177.82300000000001</v>
      </c>
      <c r="BG82">
        <v>0.95989010989010992</v>
      </c>
      <c r="BH82">
        <v>225</v>
      </c>
      <c r="BI82">
        <v>0</v>
      </c>
      <c r="BJ82">
        <v>0.49</v>
      </c>
      <c r="BK82">
        <v>-31.395</v>
      </c>
      <c r="BL82">
        <v>354.387</v>
      </c>
      <c r="BM82">
        <v>352.44799999999998</v>
      </c>
      <c r="BN82">
        <v>9067</v>
      </c>
      <c r="BO82">
        <v>352.44799999999998</v>
      </c>
      <c r="BP82">
        <v>396.50299999999999</v>
      </c>
      <c r="BQ82">
        <v>978.04200000000003</v>
      </c>
      <c r="BR82">
        <v>969.23099999999999</v>
      </c>
      <c r="BS82">
        <v>29.645</v>
      </c>
      <c r="BT82">
        <v>925.17499999999995</v>
      </c>
      <c r="BU82">
        <v>1101.3989999999999</v>
      </c>
      <c r="BV82">
        <v>4025.1619999999998</v>
      </c>
      <c r="BW82">
        <v>4053.1469999999999</v>
      </c>
      <c r="BX82">
        <v>133.501</v>
      </c>
      <c r="BY82">
        <v>3656.643</v>
      </c>
      <c r="BZ82">
        <v>4449.6499999999996</v>
      </c>
      <c r="CA82">
        <v>3.64</v>
      </c>
    </row>
    <row r="83" spans="1:84" x14ac:dyDescent="0.35">
      <c r="A83" t="s">
        <v>350</v>
      </c>
      <c r="B83" t="str">
        <f t="shared" si="5"/>
        <v xml:space="preserve"> gr_pe_2005_11_17_273</v>
      </c>
      <c r="C83" s="1">
        <f t="shared" si="6"/>
        <v>45761</v>
      </c>
      <c r="D83" t="s">
        <v>78</v>
      </c>
      <c r="E83">
        <v>214.91499999999999</v>
      </c>
      <c r="F83">
        <v>214.82300000000001</v>
      </c>
      <c r="G83">
        <v>1.5169999999999999</v>
      </c>
      <c r="H83">
        <v>212.31100000000001</v>
      </c>
      <c r="I83">
        <v>0.77042253521126769</v>
      </c>
      <c r="J83">
        <v>223.04900000000001</v>
      </c>
      <c r="K83">
        <v>0</v>
      </c>
      <c r="L83">
        <v>0.23599999999999999</v>
      </c>
      <c r="M83">
        <v>-25.419</v>
      </c>
      <c r="N83">
        <v>666.44399999999996</v>
      </c>
      <c r="O83">
        <v>676.06100000000004</v>
      </c>
      <c r="P83">
        <v>33.454999999999998</v>
      </c>
      <c r="Q83">
        <v>468.04199999999997</v>
      </c>
      <c r="R83">
        <v>728.06600000000003</v>
      </c>
      <c r="S83">
        <v>1075.7670000000001</v>
      </c>
      <c r="T83">
        <v>1092.0989999999999</v>
      </c>
      <c r="U83">
        <v>33.591000000000001</v>
      </c>
      <c r="V83">
        <v>988.09</v>
      </c>
      <c r="W83">
        <v>1300.1179999999999</v>
      </c>
      <c r="X83">
        <v>4243.3710000000001</v>
      </c>
      <c r="Y83">
        <v>4160.3770000000004</v>
      </c>
      <c r="Z83">
        <v>438.54300000000001</v>
      </c>
      <c r="AA83">
        <v>2496.2260000000001</v>
      </c>
      <c r="AB83">
        <v>5148.4669999999996</v>
      </c>
      <c r="AC83">
        <v>2.84</v>
      </c>
      <c r="AD83">
        <v>214.03700000000001</v>
      </c>
      <c r="AE83">
        <v>213.78100000000001</v>
      </c>
      <c r="AF83">
        <v>3.133</v>
      </c>
      <c r="AG83">
        <v>207.18100000000001</v>
      </c>
      <c r="AH83">
        <v>1.8471337579617834E-2</v>
      </c>
      <c r="AI83">
        <v>242.30799999999999</v>
      </c>
      <c r="AJ83">
        <v>0</v>
      </c>
      <c r="AK83">
        <v>0.34100000000000003</v>
      </c>
      <c r="AL83">
        <v>-30.175999999999998</v>
      </c>
      <c r="AM83">
        <v>362.55799999999999</v>
      </c>
      <c r="AN83">
        <v>363.60399999999998</v>
      </c>
      <c r="AO83">
        <v>9.49</v>
      </c>
      <c r="AP83">
        <v>259.71699999999998</v>
      </c>
      <c r="AQ83">
        <v>363.60399999999998</v>
      </c>
      <c r="AR83">
        <v>2131.2950000000001</v>
      </c>
      <c r="AS83">
        <v>2181.625</v>
      </c>
      <c r="AT83">
        <v>135.75299999999999</v>
      </c>
      <c r="AU83">
        <v>1506.36</v>
      </c>
      <c r="AV83">
        <v>2337.4560000000001</v>
      </c>
      <c r="AW83">
        <v>4719.4350000000004</v>
      </c>
      <c r="AX83">
        <v>4778.799</v>
      </c>
      <c r="AY83">
        <v>231.56100000000001</v>
      </c>
      <c r="AZ83">
        <v>3947.703</v>
      </c>
      <c r="BA83">
        <v>5090.4589999999998</v>
      </c>
      <c r="BB83">
        <v>3.14</v>
      </c>
      <c r="BC83">
        <v>214.887</v>
      </c>
      <c r="BD83">
        <v>214.524</v>
      </c>
      <c r="BE83">
        <v>2.157</v>
      </c>
      <c r="BF83">
        <v>211.583</v>
      </c>
      <c r="BG83">
        <v>6.5517241379310347E-3</v>
      </c>
      <c r="BH83">
        <v>227.32</v>
      </c>
      <c r="BI83">
        <v>0</v>
      </c>
      <c r="BJ83">
        <v>0.313</v>
      </c>
      <c r="BK83">
        <v>-30.998000000000001</v>
      </c>
      <c r="BL83">
        <v>364.03300000000002</v>
      </c>
      <c r="BM83">
        <v>364.03300000000002</v>
      </c>
      <c r="BN83">
        <v>12.090999999999999</v>
      </c>
      <c r="BO83">
        <v>260.024</v>
      </c>
      <c r="BP83">
        <v>416.03800000000001</v>
      </c>
      <c r="BQ83">
        <v>1078.692</v>
      </c>
      <c r="BR83">
        <v>1092.0989999999999</v>
      </c>
      <c r="BS83">
        <v>47.171999999999997</v>
      </c>
      <c r="BT83">
        <v>1040.0940000000001</v>
      </c>
      <c r="BU83">
        <v>1508.1369999999999</v>
      </c>
      <c r="BV83">
        <v>3675.5819999999999</v>
      </c>
      <c r="BW83">
        <v>3692.335</v>
      </c>
      <c r="BX83">
        <v>235.482</v>
      </c>
      <c r="BY83">
        <v>3120.2829999999999</v>
      </c>
      <c r="BZ83">
        <v>4368.3959999999997</v>
      </c>
      <c r="CA83">
        <v>2.9</v>
      </c>
      <c r="CB83">
        <v>7</v>
      </c>
      <c r="CC83">
        <v>3</v>
      </c>
      <c r="CD83">
        <v>0</v>
      </c>
      <c r="CE83">
        <v>3</v>
      </c>
      <c r="CF83">
        <v>1</v>
      </c>
    </row>
    <row r="84" spans="1:84" x14ac:dyDescent="0.35">
      <c r="A84" t="s">
        <v>351</v>
      </c>
      <c r="B84" t="str">
        <f t="shared" si="5"/>
        <v xml:space="preserve"> hi_na_2005_03_08_339</v>
      </c>
      <c r="C84" s="1">
        <f t="shared" si="6"/>
        <v>45761</v>
      </c>
      <c r="D84" t="s">
        <v>78</v>
      </c>
      <c r="E84">
        <v>187.90799999999999</v>
      </c>
      <c r="F84">
        <v>185.62799999999999</v>
      </c>
      <c r="G84">
        <v>14.646000000000001</v>
      </c>
      <c r="H84">
        <v>180.95</v>
      </c>
      <c r="I84">
        <v>0.90690789473684208</v>
      </c>
      <c r="J84">
        <v>297.97300000000001</v>
      </c>
      <c r="K84">
        <v>0</v>
      </c>
      <c r="L84">
        <v>0.66500000000000004</v>
      </c>
      <c r="M84">
        <v>-22.498999999999999</v>
      </c>
      <c r="N84">
        <v>772.45600000000002</v>
      </c>
      <c r="O84">
        <v>764.22</v>
      </c>
      <c r="P84">
        <v>50.738</v>
      </c>
      <c r="Q84">
        <v>494.495</v>
      </c>
      <c r="R84">
        <v>944.03700000000003</v>
      </c>
      <c r="S84">
        <v>1041.6959999999999</v>
      </c>
      <c r="T84">
        <v>1033.9449999999999</v>
      </c>
      <c r="U84">
        <v>108.538</v>
      </c>
      <c r="V84">
        <v>988.99099999999999</v>
      </c>
      <c r="W84">
        <v>1798.165</v>
      </c>
      <c r="X84">
        <v>3355.576</v>
      </c>
      <c r="Y84">
        <v>3281.6509999999998</v>
      </c>
      <c r="Z84">
        <v>231.999</v>
      </c>
      <c r="AA84">
        <v>2877.0639999999999</v>
      </c>
      <c r="AB84">
        <v>4225.6880000000001</v>
      </c>
      <c r="AC84">
        <v>3.04</v>
      </c>
      <c r="AD84">
        <v>188.92599999999999</v>
      </c>
      <c r="AE84">
        <v>188.17500000000001</v>
      </c>
      <c r="AF84">
        <v>3.8730000000000002</v>
      </c>
      <c r="AG84">
        <v>183.31399999999999</v>
      </c>
      <c r="AH84">
        <v>0.92804054054054053</v>
      </c>
      <c r="AI84">
        <v>205.66300000000001</v>
      </c>
      <c r="AJ84">
        <v>7.432432432432432E-3</v>
      </c>
      <c r="AK84">
        <v>0.48299999999999998</v>
      </c>
      <c r="AL84">
        <v>-27.824999999999999</v>
      </c>
      <c r="AM84">
        <v>379.99</v>
      </c>
      <c r="AN84">
        <v>361.10500000000002</v>
      </c>
      <c r="AO84">
        <v>27.44</v>
      </c>
      <c r="AP84">
        <v>315.96699999999998</v>
      </c>
      <c r="AQ84">
        <v>496.52</v>
      </c>
      <c r="AR84">
        <v>2403.799</v>
      </c>
      <c r="AS84">
        <v>2482.6</v>
      </c>
      <c r="AT84">
        <v>204.792</v>
      </c>
      <c r="AU84">
        <v>1489.56</v>
      </c>
      <c r="AV84">
        <v>2618.0140000000001</v>
      </c>
      <c r="AW84">
        <v>3734.1579999999999</v>
      </c>
      <c r="AX84">
        <v>3746.4690000000001</v>
      </c>
      <c r="AY84">
        <v>132.69900000000001</v>
      </c>
      <c r="AZ84">
        <v>2933.982</v>
      </c>
      <c r="BA84">
        <v>3972.16</v>
      </c>
      <c r="BB84">
        <v>2.96</v>
      </c>
      <c r="BC84">
        <v>190.46299999999999</v>
      </c>
      <c r="BD84">
        <v>187.54599999999999</v>
      </c>
      <c r="BE84">
        <v>8.1880000000000006</v>
      </c>
      <c r="BF84">
        <v>181.48099999999999</v>
      </c>
      <c r="BG84">
        <v>0.77727272727272734</v>
      </c>
      <c r="BH84">
        <v>219.715</v>
      </c>
      <c r="BI84">
        <v>0</v>
      </c>
      <c r="BJ84">
        <v>0.442</v>
      </c>
      <c r="BK84">
        <v>-29.841000000000001</v>
      </c>
      <c r="BL84">
        <v>382.55900000000003</v>
      </c>
      <c r="BM84">
        <v>360.36799999999999</v>
      </c>
      <c r="BN84">
        <v>27.411999999999999</v>
      </c>
      <c r="BO84">
        <v>360.36799999999999</v>
      </c>
      <c r="BP84">
        <v>540.55200000000002</v>
      </c>
      <c r="BQ84">
        <v>1046.0260000000001</v>
      </c>
      <c r="BR84">
        <v>1036.057</v>
      </c>
      <c r="BS84">
        <v>44.677</v>
      </c>
      <c r="BT84">
        <v>991.01099999999997</v>
      </c>
      <c r="BU84">
        <v>1261.287</v>
      </c>
      <c r="BV84">
        <v>3577.0439999999999</v>
      </c>
      <c r="BW84">
        <v>3603.6770000000001</v>
      </c>
      <c r="BX84">
        <v>118.11799999999999</v>
      </c>
      <c r="BY84">
        <v>3108.172</v>
      </c>
      <c r="BZ84">
        <v>3828.9070000000002</v>
      </c>
      <c r="CA84">
        <v>3.08</v>
      </c>
    </row>
    <row r="85" spans="1:84" x14ac:dyDescent="0.35">
      <c r="A85" t="s">
        <v>352</v>
      </c>
      <c r="B85" t="str">
        <f t="shared" si="5"/>
        <v xml:space="preserve"> il_le_2005_11_13_728</v>
      </c>
      <c r="C85" s="1">
        <f t="shared" si="6"/>
        <v>45761</v>
      </c>
      <c r="D85" t="s">
        <v>78</v>
      </c>
      <c r="E85">
        <v>179.49100000000001</v>
      </c>
      <c r="F85">
        <v>176.804</v>
      </c>
      <c r="G85">
        <v>13.345000000000001</v>
      </c>
      <c r="H85">
        <v>172.26599999999999</v>
      </c>
      <c r="I85">
        <v>0.66920731707317072</v>
      </c>
      <c r="J85">
        <v>282.69200000000001</v>
      </c>
      <c r="K85">
        <v>0</v>
      </c>
      <c r="L85">
        <v>0.69099999999999995</v>
      </c>
      <c r="M85">
        <v>-21.327999999999999</v>
      </c>
      <c r="N85">
        <v>713.59699999999998</v>
      </c>
      <c r="O85">
        <v>725.75</v>
      </c>
      <c r="P85">
        <v>98.629000000000005</v>
      </c>
      <c r="Q85">
        <v>384.221</v>
      </c>
      <c r="R85">
        <v>1152.662</v>
      </c>
      <c r="S85">
        <v>1105.5409999999999</v>
      </c>
      <c r="T85">
        <v>1109.971</v>
      </c>
      <c r="U85">
        <v>105.22199999999999</v>
      </c>
      <c r="V85">
        <v>1067.28</v>
      </c>
      <c r="W85">
        <v>2091.8679999999999</v>
      </c>
      <c r="X85">
        <v>3173.5830000000001</v>
      </c>
      <c r="Y85">
        <v>3159.1480000000001</v>
      </c>
      <c r="Z85">
        <v>251.441</v>
      </c>
      <c r="AA85">
        <v>2561.471</v>
      </c>
      <c r="AB85">
        <v>3884.8980000000001</v>
      </c>
      <c r="AC85">
        <v>3.28</v>
      </c>
      <c r="AD85">
        <v>190.626</v>
      </c>
      <c r="AE85">
        <v>187.66</v>
      </c>
      <c r="AF85">
        <v>10.138999999999999</v>
      </c>
      <c r="AG85">
        <v>179.58099999999999</v>
      </c>
      <c r="AH85">
        <v>0.99272727272727268</v>
      </c>
      <c r="AI85">
        <v>239.67400000000001</v>
      </c>
      <c r="AJ85">
        <v>0</v>
      </c>
      <c r="AK85">
        <v>0.432</v>
      </c>
      <c r="AL85">
        <v>-27.463999999999999</v>
      </c>
      <c r="AM85">
        <v>311.59399999999999</v>
      </c>
      <c r="AN85">
        <v>318.24700000000001</v>
      </c>
      <c r="AO85">
        <v>22.305</v>
      </c>
      <c r="AP85">
        <v>227.32</v>
      </c>
      <c r="AQ85">
        <v>363.71100000000001</v>
      </c>
      <c r="AR85">
        <v>2408.0410000000002</v>
      </c>
      <c r="AS85">
        <v>2455.0520000000001</v>
      </c>
      <c r="AT85">
        <v>127.31</v>
      </c>
      <c r="AU85">
        <v>1909.4849999999999</v>
      </c>
      <c r="AV85">
        <v>2545.9789999999998</v>
      </c>
      <c r="AW85">
        <v>3498.2809999999999</v>
      </c>
      <c r="AX85">
        <v>3500.7220000000002</v>
      </c>
      <c r="AY85">
        <v>186.76499999999999</v>
      </c>
      <c r="AZ85">
        <v>3091.5459999999998</v>
      </c>
      <c r="BA85">
        <v>3955.3609999999999</v>
      </c>
      <c r="BB85">
        <v>3.3</v>
      </c>
      <c r="BC85">
        <v>192.16499999999999</v>
      </c>
      <c r="BD85">
        <v>188.80699999999999</v>
      </c>
      <c r="BE85">
        <v>12.916</v>
      </c>
      <c r="BF85">
        <v>163.941</v>
      </c>
      <c r="BG85">
        <v>0.99255952380952384</v>
      </c>
      <c r="BH85">
        <v>280.12700000000001</v>
      </c>
      <c r="BI85">
        <v>6.5476190476190478E-3</v>
      </c>
      <c r="BJ85">
        <v>0.69499999999999995</v>
      </c>
      <c r="BK85">
        <v>-29.795000000000002</v>
      </c>
      <c r="BL85">
        <v>357.28899999999999</v>
      </c>
      <c r="BM85">
        <v>364.84</v>
      </c>
      <c r="BN85">
        <v>76.025999999999996</v>
      </c>
      <c r="BO85">
        <v>273.63</v>
      </c>
      <c r="BP85">
        <v>1185.729</v>
      </c>
      <c r="BQ85">
        <v>1013.704</v>
      </c>
      <c r="BR85">
        <v>1003.309</v>
      </c>
      <c r="BS85">
        <v>69.545000000000002</v>
      </c>
      <c r="BT85">
        <v>957.70399999999995</v>
      </c>
      <c r="BU85">
        <v>1732.989</v>
      </c>
      <c r="BV85">
        <v>3808.0140000000001</v>
      </c>
      <c r="BW85">
        <v>3830.817</v>
      </c>
      <c r="BX85">
        <v>258.40699999999998</v>
      </c>
      <c r="BY85">
        <v>3283.5569999999998</v>
      </c>
      <c r="BZ85">
        <v>4332.4719999999998</v>
      </c>
      <c r="CA85">
        <v>3.36</v>
      </c>
      <c r="CB85">
        <v>9</v>
      </c>
      <c r="CC85">
        <v>6</v>
      </c>
      <c r="CD85">
        <v>0</v>
      </c>
      <c r="CE85">
        <v>3</v>
      </c>
      <c r="CF85">
        <v>5</v>
      </c>
    </row>
    <row r="86" spans="1:84" x14ac:dyDescent="0.35">
      <c r="A86" t="s">
        <v>353</v>
      </c>
      <c r="B86" t="str">
        <f t="shared" si="5"/>
        <v xml:space="preserve"> il_re_2006_01_18_645</v>
      </c>
      <c r="C86" s="1">
        <f t="shared" si="6"/>
        <v>45761</v>
      </c>
      <c r="D86" t="s">
        <v>78</v>
      </c>
      <c r="E86">
        <v>184.04499999999999</v>
      </c>
      <c r="F86">
        <v>183.31399999999999</v>
      </c>
      <c r="G86">
        <v>3.524</v>
      </c>
      <c r="H86">
        <v>169.61500000000001</v>
      </c>
      <c r="I86">
        <v>0.98734177215189878</v>
      </c>
      <c r="J86">
        <v>213.48500000000001</v>
      </c>
      <c r="K86">
        <v>0</v>
      </c>
      <c r="L86">
        <v>0.40899999999999997</v>
      </c>
      <c r="M86">
        <v>-23.454000000000001</v>
      </c>
      <c r="N86">
        <v>673.89800000000002</v>
      </c>
      <c r="O86">
        <v>663.49</v>
      </c>
      <c r="P86">
        <v>56.526000000000003</v>
      </c>
      <c r="Q86">
        <v>442.327</v>
      </c>
      <c r="R86">
        <v>840.42100000000005</v>
      </c>
      <c r="S86">
        <v>1120.6769999999999</v>
      </c>
      <c r="T86">
        <v>1105.817</v>
      </c>
      <c r="U86">
        <v>31.536000000000001</v>
      </c>
      <c r="V86">
        <v>1061.585</v>
      </c>
      <c r="W86">
        <v>1282.748</v>
      </c>
      <c r="X86">
        <v>3512.6529999999998</v>
      </c>
      <c r="Y86">
        <v>3472.2669999999998</v>
      </c>
      <c r="Z86">
        <v>317.65300000000002</v>
      </c>
      <c r="AA86">
        <v>2875.125</v>
      </c>
      <c r="AB86">
        <v>4246.3389999999999</v>
      </c>
      <c r="AC86">
        <v>3.16</v>
      </c>
      <c r="AD86">
        <v>183.88399999999999</v>
      </c>
      <c r="AE86">
        <v>186.63800000000001</v>
      </c>
      <c r="AF86">
        <v>25.256</v>
      </c>
      <c r="AG86">
        <v>90</v>
      </c>
      <c r="AH86">
        <v>0.98461538461538456</v>
      </c>
      <c r="AI86">
        <v>361.47500000000002</v>
      </c>
      <c r="AJ86">
        <v>0.97781065088757402</v>
      </c>
      <c r="AK86">
        <v>4.0609999999999999</v>
      </c>
      <c r="AL86">
        <v>-26.998000000000001</v>
      </c>
      <c r="AM86">
        <v>341.928</v>
      </c>
      <c r="AN86">
        <v>350.69600000000003</v>
      </c>
      <c r="AO86">
        <v>18.483000000000001</v>
      </c>
      <c r="AP86">
        <v>306.85899999999998</v>
      </c>
      <c r="AQ86">
        <v>350.69600000000003</v>
      </c>
      <c r="AR86">
        <v>1642.201</v>
      </c>
      <c r="AS86">
        <v>1621.9680000000001</v>
      </c>
      <c r="AT86">
        <v>291.67</v>
      </c>
      <c r="AU86">
        <v>1358.9459999999999</v>
      </c>
      <c r="AV86">
        <v>2498.7080000000001</v>
      </c>
      <c r="AW86">
        <v>3357.8530000000001</v>
      </c>
      <c r="AX86">
        <v>3375.4470000000001</v>
      </c>
      <c r="AY86">
        <v>210.464</v>
      </c>
      <c r="AZ86">
        <v>2849.404</v>
      </c>
      <c r="BA86">
        <v>3989.165</v>
      </c>
      <c r="BB86">
        <v>3.38</v>
      </c>
      <c r="BC86">
        <v>190.77199999999999</v>
      </c>
      <c r="BD86">
        <v>190.43799999999999</v>
      </c>
      <c r="BE86">
        <v>2.4649999999999999</v>
      </c>
      <c r="BF86">
        <v>186.41300000000001</v>
      </c>
      <c r="BG86">
        <v>8.0882352941176461E-3</v>
      </c>
      <c r="BH86">
        <v>199.80600000000001</v>
      </c>
      <c r="BI86">
        <v>0</v>
      </c>
      <c r="BJ86">
        <v>0.44</v>
      </c>
      <c r="BK86">
        <v>-29.751999999999999</v>
      </c>
      <c r="BL86">
        <v>321.387</v>
      </c>
      <c r="BM86">
        <v>319.89600000000002</v>
      </c>
      <c r="BN86">
        <v>15.818</v>
      </c>
      <c r="BO86">
        <v>274.197</v>
      </c>
      <c r="BP86">
        <v>411.29500000000002</v>
      </c>
      <c r="BQ86">
        <v>972.25599999999997</v>
      </c>
      <c r="BR86">
        <v>959.68899999999996</v>
      </c>
      <c r="BS86">
        <v>20.664999999999999</v>
      </c>
      <c r="BT86">
        <v>959.68899999999996</v>
      </c>
      <c r="BU86">
        <v>1005.389</v>
      </c>
      <c r="BV86">
        <v>3360.9549999999999</v>
      </c>
      <c r="BW86">
        <v>3290.3629999999998</v>
      </c>
      <c r="BX86">
        <v>305.28899999999999</v>
      </c>
      <c r="BY86">
        <v>2879.067</v>
      </c>
      <c r="BZ86">
        <v>4432.8500000000004</v>
      </c>
      <c r="CA86">
        <v>2.72</v>
      </c>
    </row>
    <row r="87" spans="1:84" x14ac:dyDescent="0.35">
      <c r="A87" t="s">
        <v>354</v>
      </c>
      <c r="B87" t="str">
        <f t="shared" si="5"/>
        <v xml:space="preserve"> ir_ma_2004_10_19_669</v>
      </c>
      <c r="C87" s="1">
        <f t="shared" si="6"/>
        <v>45761</v>
      </c>
      <c r="D87" t="s">
        <v>78</v>
      </c>
      <c r="E87">
        <v>183.286</v>
      </c>
      <c r="F87">
        <v>183.26</v>
      </c>
      <c r="G87">
        <v>3.036</v>
      </c>
      <c r="H87">
        <v>175.09899999999999</v>
      </c>
      <c r="I87">
        <v>4.791666666666667E-2</v>
      </c>
      <c r="J87">
        <v>206.62700000000001</v>
      </c>
      <c r="K87">
        <v>0</v>
      </c>
      <c r="L87">
        <v>0.45900000000000002</v>
      </c>
      <c r="M87">
        <v>-22.620999999999999</v>
      </c>
      <c r="N87">
        <v>773.74400000000003</v>
      </c>
      <c r="O87">
        <v>789.06600000000003</v>
      </c>
      <c r="P87">
        <v>55.487000000000002</v>
      </c>
      <c r="Q87">
        <v>438.37</v>
      </c>
      <c r="R87">
        <v>876.74</v>
      </c>
      <c r="S87">
        <v>1085.808</v>
      </c>
      <c r="T87">
        <v>1052.087</v>
      </c>
      <c r="U87">
        <v>96.822000000000003</v>
      </c>
      <c r="V87">
        <v>964.41399999999999</v>
      </c>
      <c r="W87">
        <v>1446.62</v>
      </c>
      <c r="X87">
        <v>3259.9540000000002</v>
      </c>
      <c r="Y87">
        <v>3243.9360000000001</v>
      </c>
      <c r="Z87">
        <v>180.69900000000001</v>
      </c>
      <c r="AA87">
        <v>2937.078</v>
      </c>
      <c r="AB87">
        <v>3813.817</v>
      </c>
      <c r="AC87">
        <v>2.4</v>
      </c>
      <c r="AD87">
        <v>200.255</v>
      </c>
      <c r="AE87">
        <v>199.548</v>
      </c>
      <c r="AF87">
        <v>3.383</v>
      </c>
      <c r="AG87">
        <v>196.875</v>
      </c>
      <c r="AH87">
        <v>0.17500000000000002</v>
      </c>
      <c r="AI87">
        <v>228.49700000000001</v>
      </c>
      <c r="AJ87">
        <v>7.6086956521739142E-3</v>
      </c>
      <c r="AK87">
        <v>0.36099999999999999</v>
      </c>
      <c r="AL87">
        <v>-28.754000000000001</v>
      </c>
      <c r="AM87">
        <v>339.28800000000001</v>
      </c>
      <c r="AN87">
        <v>335.90899999999999</v>
      </c>
      <c r="AO87">
        <v>12.365</v>
      </c>
      <c r="AP87">
        <v>335.90899999999999</v>
      </c>
      <c r="AQ87">
        <v>383.89600000000002</v>
      </c>
      <c r="AW87">
        <v>3542.9749999999999</v>
      </c>
      <c r="AX87">
        <v>3551.0340000000001</v>
      </c>
      <c r="AY87">
        <v>118.16800000000001</v>
      </c>
      <c r="AZ87">
        <v>3263.1120000000001</v>
      </c>
      <c r="BA87">
        <v>3790.9679999999998</v>
      </c>
      <c r="BB87">
        <v>2.76</v>
      </c>
      <c r="BC87">
        <v>190.30699999999999</v>
      </c>
      <c r="BD87">
        <v>189.73599999999999</v>
      </c>
      <c r="BE87">
        <v>3.2080000000000002</v>
      </c>
      <c r="BF87">
        <v>186.63800000000001</v>
      </c>
      <c r="BG87">
        <v>8.1294964028776992E-2</v>
      </c>
      <c r="BH87">
        <v>216.48</v>
      </c>
      <c r="BI87">
        <v>0</v>
      </c>
      <c r="BJ87">
        <v>0.36799999999999999</v>
      </c>
      <c r="BK87">
        <v>-29.638999999999999</v>
      </c>
      <c r="BL87">
        <v>358.9</v>
      </c>
      <c r="BM87">
        <v>357.80900000000003</v>
      </c>
      <c r="BN87">
        <v>13.385</v>
      </c>
      <c r="BO87">
        <v>313.08300000000003</v>
      </c>
      <c r="BP87">
        <v>491.988</v>
      </c>
      <c r="BQ87">
        <v>1006.3390000000001</v>
      </c>
      <c r="BR87">
        <v>1006.3390000000001</v>
      </c>
      <c r="BS87">
        <v>31.626000000000001</v>
      </c>
      <c r="BT87">
        <v>983.976</v>
      </c>
      <c r="BU87">
        <v>1028.702</v>
      </c>
      <c r="BV87">
        <v>3561.73</v>
      </c>
      <c r="BW87">
        <v>3533.3670000000002</v>
      </c>
      <c r="BX87">
        <v>176.066</v>
      </c>
      <c r="BY87">
        <v>3175.558</v>
      </c>
      <c r="BZ87">
        <v>4025.355</v>
      </c>
      <c r="CA87">
        <v>2.78</v>
      </c>
    </row>
    <row r="88" spans="1:84" x14ac:dyDescent="0.35">
      <c r="A88" t="s">
        <v>355</v>
      </c>
      <c r="B88" t="str">
        <f t="shared" si="5"/>
        <v xml:space="preserve"> ir_sa_2005_07_04_464</v>
      </c>
      <c r="C88" s="1">
        <f t="shared" si="6"/>
        <v>45761</v>
      </c>
      <c r="D88" t="s">
        <v>78</v>
      </c>
      <c r="E88">
        <v>190.499</v>
      </c>
      <c r="F88">
        <v>191.38300000000001</v>
      </c>
      <c r="G88">
        <v>10.96</v>
      </c>
      <c r="H88">
        <v>99.613</v>
      </c>
      <c r="I88">
        <v>0.99134615384615377</v>
      </c>
      <c r="J88">
        <v>203.62799999999999</v>
      </c>
      <c r="K88">
        <v>1.3461538461538462E-2</v>
      </c>
      <c r="L88">
        <v>1.6060000000000001</v>
      </c>
      <c r="M88">
        <v>-29.123000000000001</v>
      </c>
      <c r="N88">
        <v>533.678</v>
      </c>
      <c r="O88">
        <v>546.69399999999996</v>
      </c>
      <c r="P88">
        <v>39.134999999999998</v>
      </c>
      <c r="Q88">
        <v>364.46300000000002</v>
      </c>
      <c r="R88">
        <v>683.36800000000005</v>
      </c>
      <c r="S88">
        <v>1201.6289999999999</v>
      </c>
      <c r="T88">
        <v>1184.5039999999999</v>
      </c>
      <c r="U88">
        <v>37.543999999999997</v>
      </c>
      <c r="V88">
        <v>1138.9459999999999</v>
      </c>
      <c r="W88">
        <v>1366.7360000000001</v>
      </c>
      <c r="X88">
        <v>2729.5940000000001</v>
      </c>
      <c r="Y88">
        <v>2733.471</v>
      </c>
      <c r="Z88">
        <v>110.72499999999999</v>
      </c>
      <c r="AA88">
        <v>2505.6819999999998</v>
      </c>
      <c r="AB88">
        <v>3052.3760000000002</v>
      </c>
      <c r="AC88">
        <v>3.12</v>
      </c>
      <c r="AD88">
        <v>189.48599999999999</v>
      </c>
      <c r="AE88">
        <v>188.577</v>
      </c>
      <c r="AF88">
        <v>6.5149999999999997</v>
      </c>
      <c r="AG88">
        <v>185.74</v>
      </c>
      <c r="AH88">
        <v>0.43364197530864196</v>
      </c>
      <c r="AI88">
        <v>260.947</v>
      </c>
      <c r="AJ88">
        <v>6.1728395061728392E-3</v>
      </c>
      <c r="AK88">
        <v>0.48</v>
      </c>
      <c r="AL88">
        <v>-30.486999999999998</v>
      </c>
      <c r="AM88">
        <v>359.68</v>
      </c>
      <c r="AN88">
        <v>360.36799999999999</v>
      </c>
      <c r="AO88">
        <v>5544</v>
      </c>
      <c r="AP88">
        <v>315.322</v>
      </c>
      <c r="AQ88">
        <v>360.36799999999999</v>
      </c>
      <c r="AR88">
        <v>2547.9119999999998</v>
      </c>
      <c r="AS88">
        <v>2567.62</v>
      </c>
      <c r="AT88">
        <v>66.019000000000005</v>
      </c>
      <c r="AU88">
        <v>2297.3440000000001</v>
      </c>
      <c r="AV88">
        <v>2657.712</v>
      </c>
      <c r="AW88">
        <v>2941.9679999999998</v>
      </c>
      <c r="AX88">
        <v>2927.9879999999998</v>
      </c>
      <c r="AY88">
        <v>116.128</v>
      </c>
      <c r="AZ88">
        <v>2747.8040000000001</v>
      </c>
      <c r="BA88">
        <v>3288.355</v>
      </c>
      <c r="BB88">
        <v>3.24</v>
      </c>
      <c r="BC88">
        <v>187.61099999999999</v>
      </c>
      <c r="BD88">
        <v>188.232</v>
      </c>
      <c r="BE88">
        <v>8.4030000000000005</v>
      </c>
      <c r="BF88">
        <v>100.065</v>
      </c>
      <c r="BG88">
        <v>0</v>
      </c>
      <c r="BH88">
        <v>198.012</v>
      </c>
      <c r="BI88">
        <v>8.5820895522388061E-3</v>
      </c>
      <c r="BJ88">
        <v>1.125</v>
      </c>
      <c r="BK88">
        <v>-28.018999999999998</v>
      </c>
      <c r="BL88">
        <v>351.43299999999999</v>
      </c>
      <c r="BM88">
        <v>351.04500000000002</v>
      </c>
      <c r="BN88">
        <v>4128</v>
      </c>
      <c r="BO88">
        <v>351.04500000000002</v>
      </c>
      <c r="BP88">
        <v>394.92500000000001</v>
      </c>
      <c r="BQ88">
        <v>1102.5</v>
      </c>
      <c r="BR88">
        <v>1097.0150000000001</v>
      </c>
      <c r="BS88">
        <v>52.262</v>
      </c>
      <c r="BT88">
        <v>1053.134</v>
      </c>
      <c r="BU88">
        <v>1228.6569999999999</v>
      </c>
      <c r="BV88">
        <v>4094.1350000000002</v>
      </c>
      <c r="BW88">
        <v>4124.7759999999998</v>
      </c>
      <c r="BX88">
        <v>304.74099999999999</v>
      </c>
      <c r="BY88">
        <v>3378.806</v>
      </c>
      <c r="BZ88">
        <v>4607.4629999999997</v>
      </c>
      <c r="CA88">
        <v>2.68</v>
      </c>
      <c r="CB88">
        <v>4</v>
      </c>
      <c r="CC88">
        <v>4</v>
      </c>
      <c r="CD88">
        <v>0</v>
      </c>
      <c r="CE88">
        <v>2</v>
      </c>
      <c r="CF88">
        <v>1</v>
      </c>
    </row>
    <row r="89" spans="1:84" x14ac:dyDescent="0.35">
      <c r="A89" t="s">
        <v>356</v>
      </c>
      <c r="B89" t="str">
        <f t="shared" si="5"/>
        <v xml:space="preserve"> ir_te_2005_12_19_790</v>
      </c>
      <c r="C89" s="1">
        <f t="shared" si="6"/>
        <v>45761</v>
      </c>
      <c r="D89" t="s">
        <v>78</v>
      </c>
      <c r="E89">
        <v>195.62899999999999</v>
      </c>
      <c r="F89">
        <v>195.93799999999999</v>
      </c>
      <c r="G89">
        <v>5.3239999999999998</v>
      </c>
      <c r="H89">
        <v>184.62899999999999</v>
      </c>
      <c r="I89">
        <v>0.42991071428571426</v>
      </c>
      <c r="J89">
        <v>211.005</v>
      </c>
      <c r="K89">
        <v>0.98392857142857137</v>
      </c>
      <c r="L89">
        <v>1.0840000000000001</v>
      </c>
      <c r="M89">
        <v>-24.434000000000001</v>
      </c>
      <c r="N89">
        <v>473.52499999999998</v>
      </c>
      <c r="O89">
        <v>472.16300000000001</v>
      </c>
      <c r="P89">
        <v>101.387</v>
      </c>
      <c r="Q89">
        <v>330.51400000000001</v>
      </c>
      <c r="R89">
        <v>755.46</v>
      </c>
      <c r="S89">
        <v>1080.2159999999999</v>
      </c>
      <c r="T89">
        <v>1085.9739999999999</v>
      </c>
      <c r="U89">
        <v>28.32</v>
      </c>
      <c r="V89">
        <v>1038.758</v>
      </c>
      <c r="W89">
        <v>1133.191</v>
      </c>
      <c r="X89">
        <v>3529.4160000000002</v>
      </c>
      <c r="Y89">
        <v>3541.221</v>
      </c>
      <c r="Z89">
        <v>172.29400000000001</v>
      </c>
      <c r="AA89">
        <v>3116.2739999999999</v>
      </c>
      <c r="AB89">
        <v>3871.7339999999999</v>
      </c>
      <c r="AC89">
        <v>2.2400000000000002</v>
      </c>
      <c r="AD89">
        <v>191.65600000000001</v>
      </c>
      <c r="AE89">
        <v>189.96899999999999</v>
      </c>
      <c r="AF89">
        <v>6.5629999999999997</v>
      </c>
      <c r="AG89">
        <v>186.52600000000001</v>
      </c>
      <c r="AH89">
        <v>0.91608695652173933</v>
      </c>
      <c r="AI89">
        <v>217.85499999999999</v>
      </c>
      <c r="AJ89">
        <v>0</v>
      </c>
      <c r="AK89">
        <v>0.48599999999999999</v>
      </c>
      <c r="AL89">
        <v>-28.332999999999998</v>
      </c>
      <c r="AM89">
        <v>314.661</v>
      </c>
      <c r="AN89">
        <v>318.57600000000002</v>
      </c>
      <c r="AO89">
        <v>14.478999999999999</v>
      </c>
      <c r="AP89">
        <v>273.065</v>
      </c>
      <c r="AQ89">
        <v>364.08699999999999</v>
      </c>
      <c r="AR89">
        <v>2461.3000000000002</v>
      </c>
      <c r="AS89">
        <v>2503.096</v>
      </c>
      <c r="AT89">
        <v>137.184</v>
      </c>
      <c r="AU89">
        <v>1410.836</v>
      </c>
      <c r="AV89">
        <v>2594.1179999999999</v>
      </c>
      <c r="AW89">
        <v>3385.4760000000001</v>
      </c>
      <c r="AX89">
        <v>3367.8020000000001</v>
      </c>
      <c r="AY89">
        <v>240.756</v>
      </c>
      <c r="AZ89">
        <v>2958.2040000000002</v>
      </c>
      <c r="BA89">
        <v>4141.4859999999999</v>
      </c>
      <c r="BB89">
        <v>2.2999999999999998</v>
      </c>
      <c r="BC89">
        <v>185.154</v>
      </c>
      <c r="BD89">
        <v>195.00899999999999</v>
      </c>
      <c r="BE89">
        <v>32.293999999999997</v>
      </c>
      <c r="BF89">
        <v>97.227999999999994</v>
      </c>
      <c r="BG89">
        <v>0.63350515463917534</v>
      </c>
      <c r="BH89">
        <v>223.858</v>
      </c>
      <c r="BI89">
        <v>0</v>
      </c>
      <c r="BJ89">
        <v>4.7130000000000001</v>
      </c>
      <c r="BK89">
        <v>-23.831</v>
      </c>
      <c r="BL89">
        <v>381.89</v>
      </c>
      <c r="BM89">
        <v>400.101</v>
      </c>
      <c r="BN89">
        <v>21.995000000000001</v>
      </c>
      <c r="BO89">
        <v>355.64499999999998</v>
      </c>
      <c r="BP89">
        <v>400.101</v>
      </c>
      <c r="BQ89">
        <v>988.39700000000005</v>
      </c>
      <c r="BR89">
        <v>978.024</v>
      </c>
      <c r="BS89">
        <v>134.98400000000001</v>
      </c>
      <c r="BT89">
        <v>933.56899999999996</v>
      </c>
      <c r="BU89">
        <v>1689.3150000000001</v>
      </c>
      <c r="BV89">
        <v>3983.7489999999998</v>
      </c>
      <c r="BW89">
        <v>3956.5520000000001</v>
      </c>
      <c r="BX89">
        <v>242.82499999999999</v>
      </c>
      <c r="BY89">
        <v>3200.806</v>
      </c>
      <c r="BZ89">
        <v>4756.7539999999999</v>
      </c>
      <c r="CA89">
        <v>1.94</v>
      </c>
    </row>
    <row r="90" spans="1:84" x14ac:dyDescent="0.35">
      <c r="A90" t="s">
        <v>357</v>
      </c>
      <c r="B90" t="str">
        <f t="shared" si="5"/>
        <v xml:space="preserve"> je_le_2005_12_23_699</v>
      </c>
      <c r="C90" s="1">
        <f t="shared" si="6"/>
        <v>45761</v>
      </c>
      <c r="D90" t="s">
        <v>78</v>
      </c>
      <c r="E90">
        <v>205.88800000000001</v>
      </c>
      <c r="F90">
        <v>205.8</v>
      </c>
      <c r="G90">
        <v>1.64</v>
      </c>
      <c r="H90">
        <v>190.90899999999999</v>
      </c>
      <c r="I90">
        <v>0</v>
      </c>
      <c r="J90">
        <v>210.57300000000001</v>
      </c>
      <c r="K90">
        <v>0.7583333333333333</v>
      </c>
      <c r="L90">
        <v>0.40400000000000003</v>
      </c>
      <c r="M90">
        <v>-23.417999999999999</v>
      </c>
      <c r="N90">
        <v>699.79300000000001</v>
      </c>
      <c r="O90">
        <v>693.70799999999997</v>
      </c>
      <c r="P90">
        <v>73.537000000000006</v>
      </c>
      <c r="Q90">
        <v>495.50599999999997</v>
      </c>
      <c r="R90">
        <v>891.91</v>
      </c>
      <c r="S90">
        <v>1327.433</v>
      </c>
      <c r="T90">
        <v>1337.865</v>
      </c>
      <c r="U90">
        <v>60.618000000000002</v>
      </c>
      <c r="V90">
        <v>1189.213</v>
      </c>
      <c r="W90">
        <v>1486.5170000000001</v>
      </c>
      <c r="X90">
        <v>2727.3090000000002</v>
      </c>
      <c r="Y90">
        <v>2725.2809999999999</v>
      </c>
      <c r="Z90">
        <v>101.45699999999999</v>
      </c>
      <c r="AA90">
        <v>2328.8760000000002</v>
      </c>
      <c r="AB90">
        <v>2923.4830000000002</v>
      </c>
      <c r="AC90">
        <v>3.48</v>
      </c>
      <c r="AD90">
        <v>205.32499999999999</v>
      </c>
      <c r="AE90">
        <v>205.11600000000001</v>
      </c>
      <c r="AF90">
        <v>2.1110000000000002</v>
      </c>
      <c r="AG90">
        <v>201.63300000000001</v>
      </c>
      <c r="AH90">
        <v>0.94970238095238091</v>
      </c>
      <c r="AI90">
        <v>222.08600000000001</v>
      </c>
      <c r="AJ90">
        <v>5.9523809523809529E-3</v>
      </c>
      <c r="AK90">
        <v>0.46600000000000003</v>
      </c>
      <c r="AL90">
        <v>-26.385000000000002</v>
      </c>
      <c r="AM90">
        <v>347.47500000000002</v>
      </c>
      <c r="AN90">
        <v>346.46499999999997</v>
      </c>
      <c r="AO90">
        <v>7034</v>
      </c>
      <c r="AP90">
        <v>346.46499999999997</v>
      </c>
      <c r="AQ90">
        <v>395.96</v>
      </c>
      <c r="AR90">
        <v>2394.6819999999998</v>
      </c>
      <c r="AS90">
        <v>2524.2420000000002</v>
      </c>
      <c r="AT90">
        <v>277.892</v>
      </c>
      <c r="AU90">
        <v>1435.354</v>
      </c>
      <c r="AV90">
        <v>2573.7370000000001</v>
      </c>
      <c r="AW90">
        <v>3830.009</v>
      </c>
      <c r="AX90">
        <v>3811.1109999999999</v>
      </c>
      <c r="AY90">
        <v>440.31</v>
      </c>
      <c r="AZ90">
        <v>2821.212</v>
      </c>
      <c r="BA90">
        <v>4949.4949999999999</v>
      </c>
      <c r="BB90">
        <v>3.36</v>
      </c>
      <c r="BC90">
        <v>206.78399999999999</v>
      </c>
      <c r="BD90">
        <v>206.35</v>
      </c>
      <c r="BE90">
        <v>2.161</v>
      </c>
      <c r="BF90">
        <v>203.62799999999999</v>
      </c>
      <c r="BG90">
        <v>0.20212121212121215</v>
      </c>
      <c r="BH90">
        <v>220.65799999999999</v>
      </c>
      <c r="BI90">
        <v>6.0606060606060615E-3</v>
      </c>
      <c r="BJ90">
        <v>0.33400000000000002</v>
      </c>
      <c r="BK90">
        <v>-28.974</v>
      </c>
      <c r="BL90">
        <v>379.29300000000001</v>
      </c>
      <c r="BM90">
        <v>398.19400000000002</v>
      </c>
      <c r="BN90">
        <v>24.233000000000001</v>
      </c>
      <c r="BO90">
        <v>348.42</v>
      </c>
      <c r="BP90">
        <v>398.19400000000002</v>
      </c>
      <c r="BQ90">
        <v>1036.3889999999999</v>
      </c>
      <c r="BR90">
        <v>995.48500000000001</v>
      </c>
      <c r="BS90">
        <v>104.026</v>
      </c>
      <c r="BT90">
        <v>945.71100000000001</v>
      </c>
      <c r="BU90">
        <v>1543.002</v>
      </c>
      <c r="BV90">
        <v>3111.35</v>
      </c>
      <c r="BW90">
        <v>3135.779</v>
      </c>
      <c r="BX90">
        <v>185.69300000000001</v>
      </c>
      <c r="BY90">
        <v>2638.0360000000001</v>
      </c>
      <c r="BZ90">
        <v>3733.07</v>
      </c>
      <c r="CA90">
        <v>3.3</v>
      </c>
      <c r="CB90">
        <v>8</v>
      </c>
      <c r="CC90">
        <v>3</v>
      </c>
      <c r="CD90">
        <v>3</v>
      </c>
      <c r="CE90">
        <v>6</v>
      </c>
      <c r="CF90">
        <v>7</v>
      </c>
    </row>
    <row r="91" spans="1:84" x14ac:dyDescent="0.35">
      <c r="A91" t="s">
        <v>358</v>
      </c>
      <c r="B91" t="str">
        <f t="shared" ref="B91:B122" si="7">_xlfn.TEXTAFTER(A91,"-")</f>
        <v xml:space="preserve"> je_ma_2005_01_13_962</v>
      </c>
      <c r="C91" s="1">
        <f t="shared" si="6"/>
        <v>45761</v>
      </c>
      <c r="D91" t="s">
        <v>78</v>
      </c>
      <c r="E91">
        <v>170.65600000000001</v>
      </c>
      <c r="F91">
        <v>171.83600000000001</v>
      </c>
      <c r="G91">
        <v>14.728</v>
      </c>
      <c r="H91">
        <v>127.667</v>
      </c>
      <c r="I91">
        <v>6.25E-2</v>
      </c>
      <c r="J91">
        <v>189.27</v>
      </c>
      <c r="K91">
        <v>0.984375</v>
      </c>
      <c r="L91">
        <v>4.18</v>
      </c>
      <c r="M91">
        <v>-17.236999999999998</v>
      </c>
      <c r="N91">
        <v>728.89800000000002</v>
      </c>
      <c r="O91">
        <v>732.28800000000001</v>
      </c>
      <c r="P91">
        <v>47.375</v>
      </c>
      <c r="Q91">
        <v>691.60500000000002</v>
      </c>
      <c r="R91">
        <v>854.33600000000001</v>
      </c>
      <c r="S91">
        <v>1101.8219999999999</v>
      </c>
      <c r="T91">
        <v>1098.432</v>
      </c>
      <c r="U91">
        <v>32.26</v>
      </c>
      <c r="V91">
        <v>1057.749</v>
      </c>
      <c r="W91">
        <v>1179.797</v>
      </c>
      <c r="X91">
        <v>2678.2750000000001</v>
      </c>
      <c r="Y91">
        <v>2644.373</v>
      </c>
      <c r="Z91">
        <v>123.681</v>
      </c>
      <c r="AA91">
        <v>2563.0070000000001</v>
      </c>
      <c r="AB91">
        <v>3010.5169999999998</v>
      </c>
      <c r="AC91">
        <v>0.32</v>
      </c>
      <c r="AD91">
        <v>191.18100000000001</v>
      </c>
      <c r="AE91">
        <v>181.26900000000001</v>
      </c>
      <c r="AF91">
        <v>33.988999999999997</v>
      </c>
      <c r="AG91">
        <v>144.11799999999999</v>
      </c>
      <c r="AH91">
        <v>9.583333333333334E-2</v>
      </c>
      <c r="AI91">
        <v>292.053</v>
      </c>
      <c r="AJ91">
        <v>0</v>
      </c>
      <c r="AK91">
        <v>5.6890000000000001</v>
      </c>
      <c r="AL91">
        <v>-27.573</v>
      </c>
      <c r="AM91">
        <v>358.05799999999999</v>
      </c>
      <c r="AN91">
        <v>362.59</v>
      </c>
      <c r="AO91">
        <v>20.268999999999998</v>
      </c>
      <c r="AP91">
        <v>317.26600000000002</v>
      </c>
      <c r="AQ91">
        <v>407.91399999999999</v>
      </c>
      <c r="AR91">
        <v>2591.694</v>
      </c>
      <c r="AS91">
        <v>2583.453</v>
      </c>
      <c r="AT91">
        <v>34.027000000000001</v>
      </c>
      <c r="AU91">
        <v>2538.1289999999999</v>
      </c>
      <c r="AV91">
        <v>2628.777</v>
      </c>
      <c r="AW91">
        <v>3426.4749999999999</v>
      </c>
      <c r="AX91">
        <v>3421.942</v>
      </c>
      <c r="AY91">
        <v>274.86900000000003</v>
      </c>
      <c r="AZ91">
        <v>2991.3670000000002</v>
      </c>
      <c r="BA91">
        <v>3897.8420000000001</v>
      </c>
      <c r="BB91">
        <v>0.48</v>
      </c>
      <c r="BC91">
        <v>190.56200000000001</v>
      </c>
      <c r="BD91">
        <v>198.905</v>
      </c>
      <c r="BE91">
        <v>31.242999999999999</v>
      </c>
      <c r="BF91">
        <v>95.248000000000005</v>
      </c>
      <c r="BG91">
        <v>0</v>
      </c>
      <c r="BH91">
        <v>238.37799999999999</v>
      </c>
      <c r="BI91">
        <v>3.9655172413793106E-2</v>
      </c>
      <c r="BJ91">
        <v>14.115</v>
      </c>
      <c r="BK91">
        <v>-26.332000000000001</v>
      </c>
      <c r="BL91">
        <v>393.83199999999999</v>
      </c>
      <c r="BM91">
        <v>412.15</v>
      </c>
      <c r="BN91">
        <v>29.56</v>
      </c>
      <c r="BO91">
        <v>366.35500000000002</v>
      </c>
      <c r="BP91">
        <v>457.94400000000002</v>
      </c>
      <c r="BQ91">
        <v>1152.8240000000001</v>
      </c>
      <c r="BR91">
        <v>1099.0650000000001</v>
      </c>
      <c r="BS91">
        <v>138.52500000000001</v>
      </c>
      <c r="BT91">
        <v>1007.477</v>
      </c>
      <c r="BU91">
        <v>1557.009</v>
      </c>
      <c r="BV91">
        <v>3731.3270000000002</v>
      </c>
      <c r="BW91">
        <v>3846.7289999999998</v>
      </c>
      <c r="BX91">
        <v>486.28399999999999</v>
      </c>
      <c r="BY91">
        <v>2656.0749999999998</v>
      </c>
      <c r="BZ91">
        <v>4396.2619999999997</v>
      </c>
      <c r="CA91">
        <v>0.57999999999999996</v>
      </c>
      <c r="CB91">
        <v>4</v>
      </c>
      <c r="CC91">
        <v>1</v>
      </c>
      <c r="CD91">
        <v>0</v>
      </c>
      <c r="CE91">
        <v>6</v>
      </c>
      <c r="CF91">
        <v>0</v>
      </c>
    </row>
    <row r="92" spans="1:84" x14ac:dyDescent="0.35">
      <c r="A92" t="s">
        <v>410</v>
      </c>
      <c r="B92" t="str">
        <f t="shared" si="7"/>
        <v xml:space="preserve"> ke_zh_2005_05_28_685</v>
      </c>
      <c r="C92" s="1">
        <f t="shared" si="6"/>
        <v>45802</v>
      </c>
      <c r="D92" t="s">
        <v>78</v>
      </c>
      <c r="E92">
        <v>241.17</v>
      </c>
      <c r="F92">
        <v>246.76300000000001</v>
      </c>
      <c r="G92">
        <v>19.120999999999999</v>
      </c>
      <c r="H92">
        <v>144.86199999999999</v>
      </c>
      <c r="I92">
        <v>0.99005235602094244</v>
      </c>
      <c r="J92">
        <v>287.16300000000001</v>
      </c>
      <c r="K92">
        <v>0.98560209424083778</v>
      </c>
      <c r="L92">
        <v>1.7250000000000001</v>
      </c>
      <c r="M92">
        <v>-24.152000000000001</v>
      </c>
      <c r="N92">
        <v>457.51400000000001</v>
      </c>
      <c r="O92">
        <v>405.65</v>
      </c>
      <c r="P92">
        <v>94.245000000000005</v>
      </c>
      <c r="Q92">
        <v>347.7</v>
      </c>
      <c r="R92">
        <v>927.20100000000002</v>
      </c>
      <c r="S92">
        <v>1405.5530000000001</v>
      </c>
      <c r="T92">
        <v>1390.8019999999999</v>
      </c>
      <c r="U92">
        <v>99.816999999999993</v>
      </c>
      <c r="V92">
        <v>1216.951</v>
      </c>
      <c r="W92">
        <v>2028.252</v>
      </c>
      <c r="X92">
        <v>2207.634</v>
      </c>
      <c r="Y92">
        <v>2144.152</v>
      </c>
      <c r="Z92">
        <v>317.33300000000003</v>
      </c>
      <c r="AA92">
        <v>1912.3520000000001</v>
      </c>
      <c r="AB92">
        <v>4288.3050000000003</v>
      </c>
      <c r="AC92">
        <v>3.82</v>
      </c>
      <c r="AD92">
        <v>241.44900000000001</v>
      </c>
      <c r="AE92">
        <v>244.709</v>
      </c>
      <c r="AF92">
        <v>15.663</v>
      </c>
      <c r="AG92">
        <v>116.491</v>
      </c>
      <c r="AH92">
        <v>0.96624203821656041</v>
      </c>
      <c r="AI92">
        <v>250.77199999999999</v>
      </c>
      <c r="AJ92">
        <v>0.97707006369426752</v>
      </c>
      <c r="AK92">
        <v>2.665</v>
      </c>
      <c r="AL92">
        <v>-25.704000000000001</v>
      </c>
      <c r="AM92">
        <v>240.70099999999999</v>
      </c>
      <c r="AN92">
        <v>234.57400000000001</v>
      </c>
      <c r="AO92">
        <v>20.678999999999998</v>
      </c>
      <c r="AP92">
        <v>234.57400000000001</v>
      </c>
      <c r="AQ92">
        <v>351.86200000000002</v>
      </c>
      <c r="AR92">
        <v>1344.097</v>
      </c>
      <c r="AS92">
        <v>1348.8030000000001</v>
      </c>
      <c r="AT92">
        <v>90.09</v>
      </c>
      <c r="AU92">
        <v>1114.229</v>
      </c>
      <c r="AV92">
        <v>1642.021</v>
      </c>
      <c r="AW92">
        <v>3744.8139999999999</v>
      </c>
      <c r="AX92">
        <v>3694.5479999999998</v>
      </c>
      <c r="AY92">
        <v>216.648</v>
      </c>
      <c r="AZ92">
        <v>3342.6860000000001</v>
      </c>
      <c r="BA92">
        <v>4691.4889999999996</v>
      </c>
      <c r="BB92">
        <v>3.14</v>
      </c>
      <c r="BC92">
        <v>239.643</v>
      </c>
      <c r="BD92">
        <v>244.41800000000001</v>
      </c>
      <c r="BE92">
        <v>22.193999999999999</v>
      </c>
      <c r="BF92">
        <v>111.203</v>
      </c>
      <c r="BG92">
        <v>0</v>
      </c>
      <c r="BH92">
        <v>286.36399999999998</v>
      </c>
      <c r="BI92">
        <v>0.93333333333333324</v>
      </c>
      <c r="BJ92">
        <v>3.1480000000000001</v>
      </c>
      <c r="BK92">
        <v>-27.853999999999999</v>
      </c>
      <c r="BL92">
        <v>299.15800000000002</v>
      </c>
      <c r="BM92">
        <v>290.13200000000001</v>
      </c>
      <c r="BN92">
        <v>55.307000000000002</v>
      </c>
      <c r="BO92">
        <v>232.10499999999999</v>
      </c>
      <c r="BP92">
        <v>696.31600000000003</v>
      </c>
      <c r="BQ92">
        <v>1308.1310000000001</v>
      </c>
      <c r="BR92">
        <v>1276.579</v>
      </c>
      <c r="BS92">
        <v>105.91</v>
      </c>
      <c r="BT92">
        <v>1102.5</v>
      </c>
      <c r="BU92">
        <v>1856.8420000000001</v>
      </c>
      <c r="BV92">
        <v>2905.53</v>
      </c>
      <c r="BW92">
        <v>2901.3159999999998</v>
      </c>
      <c r="BX92">
        <v>208.13200000000001</v>
      </c>
      <c r="BY92">
        <v>2321.0529999999999</v>
      </c>
      <c r="BZ92">
        <v>3481.5790000000002</v>
      </c>
      <c r="CA92">
        <v>3.12</v>
      </c>
      <c r="CB92">
        <v>3</v>
      </c>
      <c r="CC92">
        <v>4</v>
      </c>
      <c r="CD92">
        <v>3</v>
      </c>
      <c r="CE92">
        <v>3</v>
      </c>
      <c r="CF92">
        <v>1</v>
      </c>
    </row>
    <row r="93" spans="1:84" x14ac:dyDescent="0.35">
      <c r="A93" t="s">
        <v>359</v>
      </c>
      <c r="B93" t="str">
        <f t="shared" si="7"/>
        <v xml:space="preserve"> la_fi_2000_01_21_047</v>
      </c>
      <c r="C93" s="1">
        <f t="shared" si="6"/>
        <v>45761</v>
      </c>
      <c r="D93" t="s">
        <v>78</v>
      </c>
      <c r="E93">
        <v>152.51900000000001</v>
      </c>
      <c r="F93">
        <v>152.74600000000001</v>
      </c>
      <c r="G93">
        <v>3.387</v>
      </c>
      <c r="H93">
        <v>143.381</v>
      </c>
      <c r="I93">
        <v>0.98342391304347831</v>
      </c>
      <c r="J93">
        <v>179.268</v>
      </c>
      <c r="K93">
        <v>0</v>
      </c>
      <c r="L93">
        <v>0.42099999999999999</v>
      </c>
      <c r="M93">
        <v>-17.204999999999998</v>
      </c>
      <c r="N93">
        <v>778.072</v>
      </c>
      <c r="O93">
        <v>766.005</v>
      </c>
      <c r="P93">
        <v>29.347000000000001</v>
      </c>
      <c r="Q93">
        <v>729.529</v>
      </c>
      <c r="R93">
        <v>984.86400000000003</v>
      </c>
      <c r="S93">
        <v>1052.605</v>
      </c>
      <c r="T93">
        <v>1057.816</v>
      </c>
      <c r="U93">
        <v>32.109000000000002</v>
      </c>
      <c r="V93">
        <v>984.86400000000003</v>
      </c>
      <c r="W93">
        <v>1167.2460000000001</v>
      </c>
      <c r="X93">
        <v>2615.3319999999999</v>
      </c>
      <c r="Y93">
        <v>2589.826</v>
      </c>
      <c r="Z93">
        <v>128.33600000000001</v>
      </c>
      <c r="AA93">
        <v>2370.9679999999998</v>
      </c>
      <c r="AB93">
        <v>2991.067</v>
      </c>
      <c r="AC93">
        <v>3.68</v>
      </c>
      <c r="AD93">
        <v>155.95500000000001</v>
      </c>
      <c r="AE93">
        <v>155.51599999999999</v>
      </c>
      <c r="AF93">
        <v>2.8279999999999998</v>
      </c>
      <c r="AG93">
        <v>145.54499999999999</v>
      </c>
      <c r="AH93">
        <v>0</v>
      </c>
      <c r="AI93">
        <v>171.31</v>
      </c>
      <c r="AJ93">
        <v>8.7662337662337657E-3</v>
      </c>
      <c r="AK93">
        <v>0.52500000000000002</v>
      </c>
      <c r="AL93">
        <v>-28.331</v>
      </c>
      <c r="AM93">
        <v>297.55799999999999</v>
      </c>
      <c r="AN93">
        <v>297.22000000000003</v>
      </c>
      <c r="AO93">
        <v>3542</v>
      </c>
      <c r="AP93">
        <v>297.22000000000003</v>
      </c>
      <c r="AQ93">
        <v>334.37200000000001</v>
      </c>
      <c r="AR93">
        <v>2201.2849999999999</v>
      </c>
      <c r="AS93">
        <v>2266.3020000000001</v>
      </c>
      <c r="AT93">
        <v>279.79899999999998</v>
      </c>
      <c r="AU93">
        <v>1671.8620000000001</v>
      </c>
      <c r="AV93">
        <v>2563.5210000000002</v>
      </c>
      <c r="AW93">
        <v>3489.0459999999998</v>
      </c>
      <c r="AX93">
        <v>3492.3339999999998</v>
      </c>
      <c r="AY93">
        <v>94.402000000000001</v>
      </c>
      <c r="AZ93">
        <v>3232.2660000000001</v>
      </c>
      <c r="BA93">
        <v>3715.2489999999998</v>
      </c>
      <c r="BB93">
        <v>3.08</v>
      </c>
      <c r="BC93">
        <v>165.785</v>
      </c>
      <c r="BD93">
        <v>155.87</v>
      </c>
      <c r="BE93">
        <v>46.563000000000002</v>
      </c>
      <c r="BF93">
        <v>93.432000000000002</v>
      </c>
      <c r="BG93">
        <v>0.25748502994011979</v>
      </c>
      <c r="BH93">
        <v>326.66699999999997</v>
      </c>
      <c r="BI93">
        <v>7.4850299401197614E-3</v>
      </c>
      <c r="BJ93">
        <v>19.783999999999999</v>
      </c>
      <c r="BK93">
        <v>-6.4560000000000004</v>
      </c>
      <c r="BL93">
        <v>340.601</v>
      </c>
      <c r="BM93">
        <v>328.18599999999998</v>
      </c>
      <c r="BN93">
        <v>42.905000000000001</v>
      </c>
      <c r="BO93">
        <v>287.16300000000001</v>
      </c>
      <c r="BP93">
        <v>574.32600000000002</v>
      </c>
      <c r="BQ93">
        <v>1082.0630000000001</v>
      </c>
      <c r="BR93">
        <v>1066.605</v>
      </c>
      <c r="BS93">
        <v>66.036000000000001</v>
      </c>
      <c r="BT93">
        <v>984.55799999999999</v>
      </c>
      <c r="BU93">
        <v>1353.7670000000001</v>
      </c>
      <c r="BV93">
        <v>3220.627</v>
      </c>
      <c r="BW93">
        <v>3199.8139999999999</v>
      </c>
      <c r="BX93">
        <v>356.06</v>
      </c>
      <c r="BY93">
        <v>2256.279</v>
      </c>
      <c r="BZ93">
        <v>4184.3720000000003</v>
      </c>
      <c r="CA93">
        <v>3.34</v>
      </c>
      <c r="CB93">
        <v>5</v>
      </c>
      <c r="CC93">
        <v>5</v>
      </c>
      <c r="CD93">
        <v>0</v>
      </c>
      <c r="CE93">
        <v>7</v>
      </c>
      <c r="CF93">
        <v>0</v>
      </c>
    </row>
    <row r="94" spans="1:84" x14ac:dyDescent="0.35">
      <c r="A94" t="s">
        <v>360</v>
      </c>
      <c r="B94" t="str">
        <f t="shared" si="7"/>
        <v xml:space="preserve"> la_ma_2004_05_16_992</v>
      </c>
      <c r="C94" s="1">
        <f t="shared" si="6"/>
        <v>45761</v>
      </c>
      <c r="D94" t="s">
        <v>78</v>
      </c>
      <c r="E94">
        <v>233.71799999999999</v>
      </c>
      <c r="F94">
        <v>233.953</v>
      </c>
      <c r="G94">
        <v>5.5819999999999999</v>
      </c>
      <c r="H94">
        <v>217.548</v>
      </c>
      <c r="I94">
        <v>2.9276315789473682E-2</v>
      </c>
      <c r="J94">
        <v>284.51600000000002</v>
      </c>
      <c r="K94">
        <v>0</v>
      </c>
      <c r="L94">
        <v>0.372</v>
      </c>
      <c r="M94">
        <v>-30.574999999999999</v>
      </c>
      <c r="N94">
        <v>553.12300000000005</v>
      </c>
      <c r="O94">
        <v>566.11</v>
      </c>
      <c r="P94">
        <v>56.786999999999999</v>
      </c>
      <c r="Q94">
        <v>283.05500000000001</v>
      </c>
      <c r="R94">
        <v>849.16600000000005</v>
      </c>
      <c r="S94">
        <v>1282.4069999999999</v>
      </c>
      <c r="T94">
        <v>1302.0540000000001</v>
      </c>
      <c r="U94">
        <v>73.968999999999994</v>
      </c>
      <c r="V94">
        <v>1132.221</v>
      </c>
      <c r="W94">
        <v>2037.9970000000001</v>
      </c>
      <c r="X94">
        <v>2824.2249999999999</v>
      </c>
      <c r="Y94">
        <v>2830.5520000000001</v>
      </c>
      <c r="Z94">
        <v>152.779</v>
      </c>
      <c r="AA94">
        <v>2490.886</v>
      </c>
      <c r="AB94">
        <v>3340.0509999999999</v>
      </c>
      <c r="AC94">
        <v>3.04</v>
      </c>
      <c r="AD94">
        <v>235.61600000000001</v>
      </c>
      <c r="AE94">
        <v>235.29</v>
      </c>
      <c r="AF94">
        <v>2.9510000000000001</v>
      </c>
      <c r="AG94">
        <v>231.23599999999999</v>
      </c>
      <c r="AH94">
        <v>0.97627737226277356</v>
      </c>
      <c r="AI94">
        <v>264.072</v>
      </c>
      <c r="AJ94">
        <v>0</v>
      </c>
      <c r="AK94">
        <v>0.32600000000000001</v>
      </c>
      <c r="AL94">
        <v>-33.136000000000003</v>
      </c>
      <c r="AM94">
        <v>273.73500000000001</v>
      </c>
      <c r="AN94">
        <v>285.99200000000002</v>
      </c>
      <c r="AO94">
        <v>26.382000000000001</v>
      </c>
      <c r="AP94">
        <v>228.79400000000001</v>
      </c>
      <c r="AQ94">
        <v>400.38900000000001</v>
      </c>
      <c r="AR94">
        <v>2368.0160000000001</v>
      </c>
      <c r="AS94">
        <v>2402.335</v>
      </c>
      <c r="AT94">
        <v>71.046999999999997</v>
      </c>
      <c r="AU94">
        <v>2173.5410000000002</v>
      </c>
      <c r="AV94">
        <v>2459.5329999999999</v>
      </c>
      <c r="AW94">
        <v>3543.72</v>
      </c>
      <c r="AX94">
        <v>3546.3040000000001</v>
      </c>
      <c r="AY94">
        <v>102.30800000000001</v>
      </c>
      <c r="AZ94">
        <v>3317.51</v>
      </c>
      <c r="BA94">
        <v>3832.2959999999998</v>
      </c>
      <c r="BB94">
        <v>2.74</v>
      </c>
      <c r="BC94">
        <v>234.04300000000001</v>
      </c>
      <c r="BD94">
        <v>233.864</v>
      </c>
      <c r="BE94">
        <v>3.9750000000000001</v>
      </c>
      <c r="BF94">
        <v>228.667</v>
      </c>
      <c r="BG94">
        <v>0.10508474576271187</v>
      </c>
      <c r="BH94">
        <v>271.50400000000002</v>
      </c>
      <c r="BI94">
        <v>0</v>
      </c>
      <c r="BJ94">
        <v>0.35799999999999998</v>
      </c>
      <c r="BK94">
        <v>-34.137</v>
      </c>
      <c r="BL94">
        <v>339.69499999999999</v>
      </c>
      <c r="BM94">
        <v>341.41899999999998</v>
      </c>
      <c r="BN94">
        <v>19.811</v>
      </c>
      <c r="BO94">
        <v>284.51600000000002</v>
      </c>
      <c r="BP94">
        <v>512.12900000000002</v>
      </c>
      <c r="BQ94">
        <v>1237.223</v>
      </c>
      <c r="BR94">
        <v>1251.8710000000001</v>
      </c>
      <c r="BS94">
        <v>90.921999999999997</v>
      </c>
      <c r="BT94">
        <v>1024.258</v>
      </c>
      <c r="BU94">
        <v>1707.097</v>
      </c>
      <c r="BV94">
        <v>3638.3580000000002</v>
      </c>
      <c r="BW94">
        <v>3641.806</v>
      </c>
      <c r="BX94">
        <v>217.25200000000001</v>
      </c>
      <c r="BY94">
        <v>3186.5810000000001</v>
      </c>
      <c r="BZ94">
        <v>4324.6450000000004</v>
      </c>
      <c r="CA94">
        <v>2.36</v>
      </c>
    </row>
    <row r="95" spans="1:84" x14ac:dyDescent="0.35">
      <c r="A95" t="s">
        <v>361</v>
      </c>
      <c r="B95" t="str">
        <f t="shared" si="7"/>
        <v xml:space="preserve"> la_ma_2006_01_31_787</v>
      </c>
      <c r="C95" s="1">
        <f t="shared" si="6"/>
        <v>45761</v>
      </c>
      <c r="D95" t="s">
        <v>78</v>
      </c>
      <c r="E95">
        <v>210.44499999999999</v>
      </c>
      <c r="F95">
        <v>213.63300000000001</v>
      </c>
      <c r="G95">
        <v>23.155000000000001</v>
      </c>
      <c r="H95">
        <v>106.04600000000001</v>
      </c>
      <c r="I95">
        <v>0.34853801169590642</v>
      </c>
      <c r="J95">
        <v>227.655</v>
      </c>
      <c r="K95">
        <v>0.46461988304093566</v>
      </c>
      <c r="L95">
        <v>2.97</v>
      </c>
      <c r="M95">
        <v>-31.661000000000001</v>
      </c>
      <c r="N95">
        <v>333.10199999999998</v>
      </c>
      <c r="O95">
        <v>354.42</v>
      </c>
      <c r="P95">
        <v>25.683</v>
      </c>
      <c r="Q95">
        <v>303.78899999999999</v>
      </c>
      <c r="R95">
        <v>354.42</v>
      </c>
      <c r="S95">
        <v>2084.6950000000002</v>
      </c>
      <c r="T95">
        <v>2126.5210000000002</v>
      </c>
      <c r="U95">
        <v>227.261</v>
      </c>
      <c r="V95">
        <v>1569.575</v>
      </c>
      <c r="W95">
        <v>2430.31</v>
      </c>
      <c r="X95">
        <v>3878.605</v>
      </c>
      <c r="Y95">
        <v>3898.6219999999998</v>
      </c>
      <c r="Z95">
        <v>151.40600000000001</v>
      </c>
      <c r="AA95">
        <v>3392.308</v>
      </c>
      <c r="AB95">
        <v>4151.78</v>
      </c>
      <c r="AC95">
        <v>3.42</v>
      </c>
      <c r="AD95">
        <v>220.22900000000001</v>
      </c>
      <c r="AE95">
        <v>219.559</v>
      </c>
      <c r="AF95">
        <v>4.1970000000000001</v>
      </c>
      <c r="AG95">
        <v>209.14599999999999</v>
      </c>
      <c r="AH95">
        <v>0.65401069518716581</v>
      </c>
      <c r="AI95">
        <v>249.75700000000001</v>
      </c>
      <c r="AJ95">
        <v>0.63877005347593574</v>
      </c>
      <c r="AK95">
        <v>0.67600000000000005</v>
      </c>
      <c r="AL95">
        <v>-31.927</v>
      </c>
      <c r="AM95">
        <v>373.61</v>
      </c>
      <c r="AN95">
        <v>374.18200000000002</v>
      </c>
      <c r="AO95">
        <v>17.518999999999998</v>
      </c>
      <c r="AP95">
        <v>267.27300000000002</v>
      </c>
      <c r="AQ95">
        <v>427.63600000000002</v>
      </c>
      <c r="AR95">
        <v>2469.4250000000002</v>
      </c>
      <c r="AS95">
        <v>2512.364</v>
      </c>
      <c r="AT95">
        <v>146.601</v>
      </c>
      <c r="AU95">
        <v>1389.818</v>
      </c>
      <c r="AV95">
        <v>2565.8180000000002</v>
      </c>
      <c r="AW95">
        <v>3697.8130000000001</v>
      </c>
      <c r="AX95">
        <v>3741.8180000000002</v>
      </c>
      <c r="AY95">
        <v>268.51299999999998</v>
      </c>
      <c r="AZ95">
        <v>3046.9090000000001</v>
      </c>
      <c r="BA95">
        <v>4490.1819999999998</v>
      </c>
      <c r="BB95">
        <v>3.74</v>
      </c>
      <c r="BC95">
        <v>223.12700000000001</v>
      </c>
      <c r="BD95">
        <v>223.04900000000001</v>
      </c>
      <c r="BE95">
        <v>3.512</v>
      </c>
      <c r="BF95">
        <v>213.78100000000001</v>
      </c>
      <c r="BG95">
        <v>0.50942408376963355</v>
      </c>
      <c r="BH95">
        <v>232.80500000000001</v>
      </c>
      <c r="BI95">
        <v>0.18952879581151832</v>
      </c>
      <c r="BJ95">
        <v>0.81799999999999995</v>
      </c>
      <c r="BK95">
        <v>-34.353000000000002</v>
      </c>
      <c r="BL95">
        <v>377.72</v>
      </c>
      <c r="BM95">
        <v>379.70499999999998</v>
      </c>
      <c r="BN95">
        <v>11.851000000000001</v>
      </c>
      <c r="BO95">
        <v>271.21800000000002</v>
      </c>
      <c r="BP95">
        <v>379.70499999999998</v>
      </c>
      <c r="BQ95">
        <v>2464.0329999999999</v>
      </c>
      <c r="BR95">
        <v>2495.203</v>
      </c>
      <c r="BS95">
        <v>94.861000000000004</v>
      </c>
      <c r="BT95">
        <v>2169.7420000000002</v>
      </c>
      <c r="BU95">
        <v>2603.69</v>
      </c>
      <c r="BV95">
        <v>3377.8449999999998</v>
      </c>
      <c r="BW95">
        <v>3363.1</v>
      </c>
      <c r="BX95">
        <v>278.52199999999999</v>
      </c>
      <c r="BY95">
        <v>2874.9079999999999</v>
      </c>
      <c r="BZ95">
        <v>3959.779</v>
      </c>
      <c r="CA95">
        <v>3.82</v>
      </c>
    </row>
    <row r="96" spans="1:84" x14ac:dyDescent="0.35">
      <c r="A96" t="s">
        <v>362</v>
      </c>
      <c r="B96" t="str">
        <f t="shared" si="7"/>
        <v xml:space="preserve"> la_pe_2005_12_15_770</v>
      </c>
      <c r="C96" s="1">
        <f t="shared" si="6"/>
        <v>45761</v>
      </c>
      <c r="D96" t="s">
        <v>78</v>
      </c>
      <c r="E96">
        <v>200.41200000000001</v>
      </c>
      <c r="F96">
        <v>200.846</v>
      </c>
      <c r="G96">
        <v>1.6020000000000001</v>
      </c>
      <c r="H96">
        <v>195.256</v>
      </c>
      <c r="I96">
        <v>0</v>
      </c>
      <c r="J96">
        <v>203.62799999999999</v>
      </c>
      <c r="K96">
        <v>0.97346153846153849</v>
      </c>
      <c r="L96">
        <v>0.30599999999999999</v>
      </c>
      <c r="M96">
        <v>-25.504000000000001</v>
      </c>
      <c r="N96">
        <v>740.95799999999997</v>
      </c>
      <c r="O96">
        <v>728.524</v>
      </c>
      <c r="P96">
        <v>53.026000000000003</v>
      </c>
      <c r="Q96">
        <v>485.68299999999999</v>
      </c>
      <c r="R96">
        <v>874.22900000000004</v>
      </c>
      <c r="S96">
        <v>1167.867</v>
      </c>
      <c r="T96">
        <v>1165.6389999999999</v>
      </c>
      <c r="U96">
        <v>86.777000000000001</v>
      </c>
      <c r="V96">
        <v>1068.502</v>
      </c>
      <c r="W96">
        <v>1845.595</v>
      </c>
      <c r="X96">
        <v>3523.337</v>
      </c>
      <c r="Y96">
        <v>3594.0529999999999</v>
      </c>
      <c r="Z96">
        <v>308.56299999999999</v>
      </c>
      <c r="AA96">
        <v>2671.2559999999999</v>
      </c>
      <c r="AB96">
        <v>4274.009</v>
      </c>
      <c r="AC96">
        <v>2.6</v>
      </c>
      <c r="AD96">
        <v>206.46199999999999</v>
      </c>
      <c r="AE96">
        <v>206.62700000000001</v>
      </c>
      <c r="AF96">
        <v>3.2719999999999998</v>
      </c>
      <c r="AG96">
        <v>198.26599999999999</v>
      </c>
      <c r="AH96">
        <v>6.9465648854961828E-2</v>
      </c>
      <c r="AI96">
        <v>224.346</v>
      </c>
      <c r="AJ96">
        <v>0</v>
      </c>
      <c r="AK96">
        <v>0.56299999999999994</v>
      </c>
      <c r="AL96">
        <v>-29.599</v>
      </c>
      <c r="AM96">
        <v>350.19799999999998</v>
      </c>
      <c r="AN96">
        <v>348.81400000000002</v>
      </c>
      <c r="AO96">
        <v>8305</v>
      </c>
      <c r="AP96">
        <v>348.81400000000002</v>
      </c>
      <c r="AQ96">
        <v>398.64400000000001</v>
      </c>
      <c r="AR96">
        <v>1598.373</v>
      </c>
      <c r="AS96">
        <v>1594.576</v>
      </c>
      <c r="AT96">
        <v>173.542</v>
      </c>
      <c r="AU96">
        <v>1345.424</v>
      </c>
      <c r="AV96">
        <v>2142.712</v>
      </c>
      <c r="AW96">
        <v>4020.4340000000002</v>
      </c>
      <c r="AX96">
        <v>4036.2710000000002</v>
      </c>
      <c r="AY96">
        <v>145.678</v>
      </c>
      <c r="AZ96">
        <v>3288.8139999999999</v>
      </c>
      <c r="BA96">
        <v>4335.2539999999999</v>
      </c>
      <c r="BB96">
        <v>2.62</v>
      </c>
      <c r="BC96">
        <v>207.614</v>
      </c>
      <c r="BD96">
        <v>208.44</v>
      </c>
      <c r="BE96">
        <v>3.24</v>
      </c>
      <c r="BF96">
        <v>196.374</v>
      </c>
      <c r="BG96">
        <v>4.8620689655172411E-2</v>
      </c>
      <c r="BH96">
        <v>213.63300000000001</v>
      </c>
      <c r="BI96">
        <v>0.12448275862068965</v>
      </c>
      <c r="BJ96">
        <v>0.47699999999999998</v>
      </c>
      <c r="BK96">
        <v>-29.183</v>
      </c>
      <c r="BL96">
        <v>461.291</v>
      </c>
      <c r="BM96">
        <v>451.536</v>
      </c>
      <c r="BN96">
        <v>33.709000000000003</v>
      </c>
      <c r="BO96">
        <v>351.19499999999999</v>
      </c>
      <c r="BP96">
        <v>501.70600000000002</v>
      </c>
      <c r="BQ96">
        <v>1103.7539999999999</v>
      </c>
      <c r="BR96">
        <v>1053.5840000000001</v>
      </c>
      <c r="BS96">
        <v>201.93299999999999</v>
      </c>
      <c r="BT96">
        <v>1003.413</v>
      </c>
      <c r="BU96">
        <v>1705.8019999999999</v>
      </c>
      <c r="BV96">
        <v>4237.3289999999997</v>
      </c>
      <c r="BW96">
        <v>4264.5050000000001</v>
      </c>
      <c r="BX96">
        <v>173.88499999999999</v>
      </c>
      <c r="BY96">
        <v>3060.41</v>
      </c>
      <c r="BZ96">
        <v>4465.1880000000001</v>
      </c>
      <c r="CA96">
        <v>2.9</v>
      </c>
      <c r="CB96">
        <v>0</v>
      </c>
      <c r="CC96">
        <v>1</v>
      </c>
      <c r="CD96">
        <v>0</v>
      </c>
      <c r="CE96">
        <v>4</v>
      </c>
      <c r="CF96">
        <v>0</v>
      </c>
    </row>
    <row r="97" spans="1:84" x14ac:dyDescent="0.35">
      <c r="A97" t="s">
        <v>363</v>
      </c>
      <c r="B97" t="str">
        <f t="shared" si="7"/>
        <v xml:space="preserve"> le_du_2003_03_30_117</v>
      </c>
      <c r="C97" s="1">
        <f t="shared" si="6"/>
        <v>45761</v>
      </c>
      <c r="D97" t="s">
        <v>78</v>
      </c>
      <c r="E97">
        <v>186.482</v>
      </c>
      <c r="F97">
        <v>186.52600000000001</v>
      </c>
      <c r="G97">
        <v>1.9530000000000001</v>
      </c>
      <c r="H97">
        <v>181.90899999999999</v>
      </c>
      <c r="I97">
        <v>0.10882352941176469</v>
      </c>
      <c r="J97">
        <v>193.66399999999999</v>
      </c>
      <c r="K97">
        <v>8.4558823529411759E-3</v>
      </c>
      <c r="L97">
        <v>0.34799999999999998</v>
      </c>
      <c r="M97">
        <v>-30.721</v>
      </c>
      <c r="N97">
        <v>478.24200000000002</v>
      </c>
      <c r="O97">
        <v>486.56</v>
      </c>
      <c r="P97">
        <v>35.771000000000001</v>
      </c>
      <c r="Q97">
        <v>398.09399999999999</v>
      </c>
      <c r="R97">
        <v>707.72299999999996</v>
      </c>
      <c r="S97">
        <v>1120.6890000000001</v>
      </c>
      <c r="T97">
        <v>1105.817</v>
      </c>
      <c r="U97">
        <v>57.137</v>
      </c>
      <c r="V97">
        <v>1017.352</v>
      </c>
      <c r="W97">
        <v>1326.981</v>
      </c>
      <c r="X97">
        <v>3367.261</v>
      </c>
      <c r="Y97">
        <v>3405.9180000000001</v>
      </c>
      <c r="Z97">
        <v>134.751</v>
      </c>
      <c r="AA97">
        <v>2919.3580000000002</v>
      </c>
      <c r="AB97">
        <v>3671.3139999999999</v>
      </c>
      <c r="AC97">
        <v>2.72</v>
      </c>
      <c r="AD97">
        <v>182.38399999999999</v>
      </c>
      <c r="AE97">
        <v>180.84399999999999</v>
      </c>
      <c r="AF97">
        <v>10.077</v>
      </c>
      <c r="AG97">
        <v>176.09800000000001</v>
      </c>
      <c r="AH97">
        <v>0.98790849673202619</v>
      </c>
      <c r="AI97">
        <v>267.96899999999999</v>
      </c>
      <c r="AJ97">
        <v>1.5359477124183006E-2</v>
      </c>
      <c r="AK97">
        <v>0.72499999999999998</v>
      </c>
      <c r="AL97">
        <v>-30.556000000000001</v>
      </c>
      <c r="AM97">
        <v>346.226</v>
      </c>
      <c r="AN97">
        <v>346.56200000000001</v>
      </c>
      <c r="AO97">
        <v>3814</v>
      </c>
      <c r="AP97">
        <v>303.24200000000002</v>
      </c>
      <c r="AQ97">
        <v>346.56200000000001</v>
      </c>
      <c r="AR97">
        <v>2392.4279999999999</v>
      </c>
      <c r="AS97">
        <v>2425.933</v>
      </c>
      <c r="AT97">
        <v>125.88500000000001</v>
      </c>
      <c r="AU97">
        <v>1646.1690000000001</v>
      </c>
      <c r="AV97">
        <v>2555.8939999999998</v>
      </c>
      <c r="AW97">
        <v>3301.5970000000002</v>
      </c>
      <c r="AX97">
        <v>3292.3380000000002</v>
      </c>
      <c r="AY97">
        <v>118.212</v>
      </c>
      <c r="AZ97">
        <v>2945.7759999999998</v>
      </c>
      <c r="BA97">
        <v>3682.22</v>
      </c>
      <c r="BB97">
        <v>3.06</v>
      </c>
      <c r="BC97">
        <v>183.63200000000001</v>
      </c>
      <c r="BD97">
        <v>182.77099999999999</v>
      </c>
      <c r="BE97">
        <v>6.3460000000000001</v>
      </c>
      <c r="BF97">
        <v>178.749</v>
      </c>
      <c r="BG97">
        <v>0.10559210526315789</v>
      </c>
      <c r="BH97">
        <v>241.36</v>
      </c>
      <c r="BI97">
        <v>7.5657894736842106E-3</v>
      </c>
      <c r="BJ97">
        <v>0.70099999999999996</v>
      </c>
      <c r="BK97">
        <v>-30.64</v>
      </c>
      <c r="BL97">
        <v>346.85899999999998</v>
      </c>
      <c r="BM97">
        <v>351.745</v>
      </c>
      <c r="BN97">
        <v>15.545</v>
      </c>
      <c r="BO97">
        <v>307.77699999999999</v>
      </c>
      <c r="BP97">
        <v>395.71300000000002</v>
      </c>
      <c r="BQ97">
        <v>976.91600000000005</v>
      </c>
      <c r="BR97">
        <v>967.298</v>
      </c>
      <c r="BS97">
        <v>33.006</v>
      </c>
      <c r="BT97">
        <v>923.33</v>
      </c>
      <c r="BU97">
        <v>1055.2339999999999</v>
      </c>
      <c r="BV97">
        <v>3206.0070000000001</v>
      </c>
      <c r="BW97">
        <v>3209.6709999999998</v>
      </c>
      <c r="BX97">
        <v>209.49700000000001</v>
      </c>
      <c r="BY97">
        <v>2682.0540000000001</v>
      </c>
      <c r="BZ97">
        <v>3561.4160000000002</v>
      </c>
      <c r="CA97">
        <v>3.04</v>
      </c>
      <c r="CB97">
        <v>5</v>
      </c>
      <c r="CC97">
        <v>1</v>
      </c>
      <c r="CD97">
        <v>0</v>
      </c>
      <c r="CE97">
        <v>1</v>
      </c>
      <c r="CF97">
        <v>0</v>
      </c>
    </row>
    <row r="98" spans="1:84" x14ac:dyDescent="0.35">
      <c r="A98" t="s">
        <v>364</v>
      </c>
      <c r="B98" t="str">
        <f t="shared" si="7"/>
        <v xml:space="preserve"> li_se_2005_11_04_636</v>
      </c>
      <c r="C98" s="1">
        <f t="shared" ref="C98:C129" si="8">DATEVALUE(SUBSTITUTE(_xlfn.TEXTAFTER(_xlfn.TEXTBEFORE(A98," -"),"a2_"),"_","/"))</f>
        <v>45761</v>
      </c>
      <c r="D98" t="s">
        <v>78</v>
      </c>
      <c r="E98">
        <v>194.708</v>
      </c>
      <c r="F98">
        <v>197.126</v>
      </c>
      <c r="G98">
        <v>17.260000000000002</v>
      </c>
      <c r="H98">
        <v>96.287999999999997</v>
      </c>
      <c r="I98">
        <v>8.2031250000000003E-3</v>
      </c>
      <c r="J98">
        <v>209.715</v>
      </c>
      <c r="K98">
        <v>0.97382812499999993</v>
      </c>
      <c r="L98">
        <v>2.77</v>
      </c>
      <c r="M98">
        <v>-27.646000000000001</v>
      </c>
      <c r="N98">
        <v>622.19000000000005</v>
      </c>
      <c r="O98">
        <v>620.45500000000004</v>
      </c>
      <c r="P98">
        <v>70.503</v>
      </c>
      <c r="Q98">
        <v>381.81799999999998</v>
      </c>
      <c r="R98">
        <v>1002.273</v>
      </c>
      <c r="S98">
        <v>1169.1030000000001</v>
      </c>
      <c r="T98">
        <v>1145.4549999999999</v>
      </c>
      <c r="U98">
        <v>60.67</v>
      </c>
      <c r="V98">
        <v>1050</v>
      </c>
      <c r="W98">
        <v>1527.2729999999999</v>
      </c>
      <c r="X98">
        <v>2897.953</v>
      </c>
      <c r="Y98">
        <v>2863.636</v>
      </c>
      <c r="Z98">
        <v>146.74700000000001</v>
      </c>
      <c r="AA98">
        <v>2577.2730000000001</v>
      </c>
      <c r="AB98">
        <v>3245.4549999999999</v>
      </c>
      <c r="AC98">
        <v>2.56</v>
      </c>
      <c r="AD98">
        <v>212.83099999999999</v>
      </c>
      <c r="AE98">
        <v>212.09200000000001</v>
      </c>
      <c r="AF98">
        <v>4.4059999999999997</v>
      </c>
      <c r="AG98">
        <v>206.76499999999999</v>
      </c>
      <c r="AH98">
        <v>0.38644859813084109</v>
      </c>
      <c r="AI98">
        <v>238.74700000000001</v>
      </c>
      <c r="AJ98">
        <v>0</v>
      </c>
      <c r="AK98">
        <v>0.40200000000000002</v>
      </c>
      <c r="AL98">
        <v>-28.946000000000002</v>
      </c>
      <c r="AM98">
        <v>363.22699999999998</v>
      </c>
      <c r="AN98">
        <v>358.95299999999997</v>
      </c>
      <c r="AO98">
        <v>17.350999999999999</v>
      </c>
      <c r="AP98">
        <v>307.67399999999998</v>
      </c>
      <c r="AQ98">
        <v>410.233</v>
      </c>
      <c r="AR98">
        <v>2102.442</v>
      </c>
      <c r="AS98">
        <v>2076.8020000000001</v>
      </c>
      <c r="AT98">
        <v>308.89299999999997</v>
      </c>
      <c r="AU98">
        <v>1640.93</v>
      </c>
      <c r="AV98">
        <v>2563.953</v>
      </c>
      <c r="AW98">
        <v>3911.453</v>
      </c>
      <c r="AX98">
        <v>3897.2089999999998</v>
      </c>
      <c r="AY98">
        <v>151.31399999999999</v>
      </c>
      <c r="AZ98">
        <v>3281.86</v>
      </c>
      <c r="BA98">
        <v>4256.1629999999996</v>
      </c>
      <c r="BB98">
        <v>2.14</v>
      </c>
      <c r="BC98">
        <v>212.38399999999999</v>
      </c>
      <c r="BD98">
        <v>208.01900000000001</v>
      </c>
      <c r="BE98">
        <v>8.2129999999999992</v>
      </c>
      <c r="BF98">
        <v>205.52600000000001</v>
      </c>
      <c r="BG98">
        <v>0.88558558558558553</v>
      </c>
      <c r="BH98">
        <v>243.64599999999999</v>
      </c>
      <c r="BI98">
        <v>9.0090090090090089E-3</v>
      </c>
      <c r="BJ98">
        <v>0.40400000000000003</v>
      </c>
      <c r="BK98">
        <v>-30.224</v>
      </c>
      <c r="BL98">
        <v>404.62099999999998</v>
      </c>
      <c r="BM98">
        <v>406.452</v>
      </c>
      <c r="BN98">
        <v>15.208</v>
      </c>
      <c r="BO98">
        <v>355.64499999999998</v>
      </c>
      <c r="BP98">
        <v>457.25799999999998</v>
      </c>
      <c r="BQ98">
        <v>1084.867</v>
      </c>
      <c r="BR98">
        <v>1066.9349999999999</v>
      </c>
      <c r="BS98">
        <v>67.218999999999994</v>
      </c>
      <c r="BT98">
        <v>1016.129</v>
      </c>
      <c r="BU98">
        <v>1422.5809999999999</v>
      </c>
      <c r="BV98">
        <v>3323.9319999999998</v>
      </c>
      <c r="BW98">
        <v>3302.4189999999999</v>
      </c>
      <c r="BX98">
        <v>231.667</v>
      </c>
      <c r="BY98">
        <v>2946.7739999999999</v>
      </c>
      <c r="BZ98">
        <v>4928.2259999999997</v>
      </c>
      <c r="CA98">
        <v>2.2200000000000002</v>
      </c>
    </row>
    <row r="99" spans="1:84" x14ac:dyDescent="0.35">
      <c r="A99" t="s">
        <v>365</v>
      </c>
      <c r="B99" t="str">
        <f t="shared" si="7"/>
        <v xml:space="preserve"> lu_ma_2005_11_04_366</v>
      </c>
      <c r="C99" s="1">
        <f t="shared" si="8"/>
        <v>45761</v>
      </c>
      <c r="D99" t="s">
        <v>78</v>
      </c>
      <c r="E99">
        <v>175.821</v>
      </c>
      <c r="F99">
        <v>174.90100000000001</v>
      </c>
      <c r="G99">
        <v>3.823</v>
      </c>
      <c r="H99">
        <v>172.17</v>
      </c>
      <c r="I99">
        <v>0.63380281690140849</v>
      </c>
      <c r="J99">
        <v>194.15100000000001</v>
      </c>
      <c r="K99">
        <v>8.4507042253521136E-3</v>
      </c>
      <c r="L99">
        <v>0.41799999999999998</v>
      </c>
      <c r="M99">
        <v>-20.393000000000001</v>
      </c>
      <c r="N99">
        <v>782.69500000000005</v>
      </c>
      <c r="O99">
        <v>798</v>
      </c>
      <c r="P99">
        <v>73.603999999999999</v>
      </c>
      <c r="Q99">
        <v>504</v>
      </c>
      <c r="R99">
        <v>1218</v>
      </c>
      <c r="S99">
        <v>983.84100000000001</v>
      </c>
      <c r="T99">
        <v>966</v>
      </c>
      <c r="U99">
        <v>109.523</v>
      </c>
      <c r="V99">
        <v>882</v>
      </c>
      <c r="W99">
        <v>1512</v>
      </c>
      <c r="X99">
        <v>2626.78</v>
      </c>
      <c r="Y99">
        <v>2646</v>
      </c>
      <c r="Z99">
        <v>255.13</v>
      </c>
      <c r="AA99">
        <v>2100</v>
      </c>
      <c r="AB99">
        <v>3822</v>
      </c>
      <c r="AC99">
        <v>2.84</v>
      </c>
      <c r="AD99">
        <v>179.309</v>
      </c>
      <c r="AE99">
        <v>178.95699999999999</v>
      </c>
      <c r="AF99">
        <v>2.5190000000000001</v>
      </c>
      <c r="AG99">
        <v>174.505</v>
      </c>
      <c r="AH99">
        <v>7.1140939597315433E-2</v>
      </c>
      <c r="AI99">
        <v>195.00899999999999</v>
      </c>
      <c r="AJ99">
        <v>8.0536912751677861E-3</v>
      </c>
      <c r="AK99">
        <v>0.51600000000000001</v>
      </c>
      <c r="AL99">
        <v>-23.065000000000001</v>
      </c>
      <c r="AM99">
        <v>341.49099999999999</v>
      </c>
      <c r="AN99">
        <v>342.19200000000001</v>
      </c>
      <c r="AO99">
        <v>5454</v>
      </c>
      <c r="AP99">
        <v>299.41800000000001</v>
      </c>
      <c r="AQ99">
        <v>342.19200000000001</v>
      </c>
      <c r="AR99">
        <v>2521.6289999999999</v>
      </c>
      <c r="AS99">
        <v>2523.6660000000002</v>
      </c>
      <c r="AT99">
        <v>63.756</v>
      </c>
      <c r="AU99">
        <v>2352.5700000000002</v>
      </c>
      <c r="AV99">
        <v>2651.9879999999998</v>
      </c>
      <c r="AW99">
        <v>3326.1880000000001</v>
      </c>
      <c r="AX99">
        <v>3314.9850000000001</v>
      </c>
      <c r="AY99">
        <v>200.221</v>
      </c>
      <c r="AZ99">
        <v>2823.0839999999998</v>
      </c>
      <c r="BA99">
        <v>4020.7570000000001</v>
      </c>
      <c r="BB99">
        <v>2.98</v>
      </c>
      <c r="BC99">
        <v>180.494</v>
      </c>
      <c r="BD99">
        <v>179.477</v>
      </c>
      <c r="BE99">
        <v>5.3940000000000001</v>
      </c>
      <c r="BF99">
        <v>175.59700000000001</v>
      </c>
      <c r="BG99">
        <v>0.14899328859060404</v>
      </c>
      <c r="BH99">
        <v>218.78100000000001</v>
      </c>
      <c r="BI99">
        <v>0</v>
      </c>
      <c r="BJ99">
        <v>0.56999999999999995</v>
      </c>
      <c r="BK99">
        <v>-24.655999999999999</v>
      </c>
      <c r="BL99">
        <v>360.26400000000001</v>
      </c>
      <c r="BM99">
        <v>344.86799999999999</v>
      </c>
      <c r="BN99">
        <v>22.788</v>
      </c>
      <c r="BO99">
        <v>344.86799999999999</v>
      </c>
      <c r="BP99">
        <v>431.08499999999998</v>
      </c>
      <c r="BQ99">
        <v>1026.4480000000001</v>
      </c>
      <c r="BR99">
        <v>1034.604</v>
      </c>
      <c r="BS99">
        <v>33.22</v>
      </c>
      <c r="BT99">
        <v>948.38699999999994</v>
      </c>
      <c r="BU99">
        <v>1077.713</v>
      </c>
      <c r="BV99">
        <v>3688.6619999999998</v>
      </c>
      <c r="BW99">
        <v>3664.223</v>
      </c>
      <c r="BX99">
        <v>129.05000000000001</v>
      </c>
      <c r="BY99">
        <v>3319.355</v>
      </c>
      <c r="BZ99">
        <v>3965.982</v>
      </c>
      <c r="CA99">
        <v>2.98</v>
      </c>
      <c r="CB99">
        <v>9</v>
      </c>
      <c r="CC99">
        <v>5</v>
      </c>
      <c r="CD99">
        <v>0</v>
      </c>
      <c r="CE99">
        <v>5</v>
      </c>
      <c r="CF99">
        <v>3</v>
      </c>
    </row>
    <row r="100" spans="1:84" x14ac:dyDescent="0.35">
      <c r="A100" t="s">
        <v>366</v>
      </c>
      <c r="B100" t="str">
        <f t="shared" si="7"/>
        <v xml:space="preserve"> ly_vi_2005_11_24_863</v>
      </c>
      <c r="C100" s="1">
        <f t="shared" si="8"/>
        <v>45761</v>
      </c>
      <c r="D100" t="s">
        <v>78</v>
      </c>
      <c r="E100">
        <v>218.01300000000001</v>
      </c>
      <c r="F100">
        <v>218.16300000000001</v>
      </c>
      <c r="G100">
        <v>1.238</v>
      </c>
      <c r="H100">
        <v>211.72800000000001</v>
      </c>
      <c r="I100">
        <v>2.3913043478260867E-2</v>
      </c>
      <c r="J100">
        <v>222.08600000000001</v>
      </c>
      <c r="K100">
        <v>0.99937888198757752</v>
      </c>
      <c r="L100">
        <v>0.248</v>
      </c>
      <c r="M100">
        <v>-30.995000000000001</v>
      </c>
      <c r="N100">
        <v>490.69200000000001</v>
      </c>
      <c r="O100">
        <v>475.899</v>
      </c>
      <c r="P100">
        <v>73.179000000000002</v>
      </c>
      <c r="Q100">
        <v>370.14400000000001</v>
      </c>
      <c r="R100">
        <v>898.92100000000005</v>
      </c>
      <c r="S100">
        <v>1226.1990000000001</v>
      </c>
      <c r="T100">
        <v>1216.1869999999999</v>
      </c>
      <c r="U100">
        <v>38.256999999999998</v>
      </c>
      <c r="V100">
        <v>1163.309</v>
      </c>
      <c r="W100">
        <v>1374.82</v>
      </c>
      <c r="X100">
        <v>3668.2730000000001</v>
      </c>
      <c r="Y100">
        <v>3648.5610000000001</v>
      </c>
      <c r="Z100">
        <v>248.87299999999999</v>
      </c>
      <c r="AA100">
        <v>3066.9059999999999</v>
      </c>
      <c r="AB100">
        <v>4283.0940000000001</v>
      </c>
      <c r="AC100">
        <v>3.22</v>
      </c>
      <c r="AD100">
        <v>220.06100000000001</v>
      </c>
      <c r="AE100">
        <v>219.24700000000001</v>
      </c>
      <c r="AF100">
        <v>3.4359999999999999</v>
      </c>
      <c r="AG100">
        <v>216.63200000000001</v>
      </c>
      <c r="AH100">
        <v>0.56444444444444442</v>
      </c>
      <c r="AI100">
        <v>245</v>
      </c>
      <c r="AJ100">
        <v>0</v>
      </c>
      <c r="AK100">
        <v>0.30599999999999999</v>
      </c>
      <c r="AL100">
        <v>-35.073999999999998</v>
      </c>
      <c r="AM100">
        <v>374.13099999999997</v>
      </c>
      <c r="AN100">
        <v>374.63600000000002</v>
      </c>
      <c r="AO100">
        <v>15.661</v>
      </c>
      <c r="AP100">
        <v>267.59699999999998</v>
      </c>
      <c r="AQ100">
        <v>481.67500000000001</v>
      </c>
      <c r="AR100">
        <v>2457.402</v>
      </c>
      <c r="AS100">
        <v>2461.893</v>
      </c>
      <c r="AT100">
        <v>109.553</v>
      </c>
      <c r="AU100">
        <v>1552.0630000000001</v>
      </c>
      <c r="AV100">
        <v>2568.9319999999998</v>
      </c>
      <c r="AW100">
        <v>3693.2139999999999</v>
      </c>
      <c r="AX100">
        <v>3692.84</v>
      </c>
      <c r="AY100">
        <v>113.53100000000001</v>
      </c>
      <c r="AZ100">
        <v>3157.6460000000002</v>
      </c>
      <c r="BA100">
        <v>3960.4369999999999</v>
      </c>
      <c r="BB100">
        <v>2.7</v>
      </c>
      <c r="BC100">
        <v>220.161</v>
      </c>
      <c r="BD100">
        <v>220.26400000000001</v>
      </c>
      <c r="BE100">
        <v>1.724</v>
      </c>
      <c r="BF100">
        <v>211.005</v>
      </c>
      <c r="BG100">
        <v>0</v>
      </c>
      <c r="BH100">
        <v>228.667</v>
      </c>
      <c r="BI100">
        <v>6.3333333333333332E-3</v>
      </c>
      <c r="BJ100">
        <v>0.307</v>
      </c>
      <c r="BK100">
        <v>-32.957999999999998</v>
      </c>
      <c r="BL100">
        <v>340.68900000000002</v>
      </c>
      <c r="BM100">
        <v>319.952</v>
      </c>
      <c r="BN100">
        <v>44.843000000000004</v>
      </c>
      <c r="BO100">
        <v>319.952</v>
      </c>
      <c r="BP100">
        <v>533.25300000000004</v>
      </c>
      <c r="BQ100">
        <v>1055.152</v>
      </c>
      <c r="BR100">
        <v>1066.5050000000001</v>
      </c>
      <c r="BS100">
        <v>66.009</v>
      </c>
      <c r="BT100">
        <v>959.85500000000002</v>
      </c>
      <c r="BU100">
        <v>1706.4090000000001</v>
      </c>
      <c r="BV100">
        <v>3203.904</v>
      </c>
      <c r="BW100">
        <v>3199.5160000000001</v>
      </c>
      <c r="BX100">
        <v>131.58199999999999</v>
      </c>
      <c r="BY100">
        <v>2879.5650000000001</v>
      </c>
      <c r="BZ100">
        <v>3519.4679999999998</v>
      </c>
      <c r="CA100">
        <v>3</v>
      </c>
      <c r="CB100">
        <v>4</v>
      </c>
      <c r="CC100">
        <v>4</v>
      </c>
      <c r="CD100">
        <v>1</v>
      </c>
      <c r="CE100">
        <v>2</v>
      </c>
      <c r="CF100">
        <v>4</v>
      </c>
    </row>
    <row r="101" spans="1:84" x14ac:dyDescent="0.35">
      <c r="A101" t="s">
        <v>273</v>
      </c>
      <c r="B101" t="str">
        <f t="shared" si="7"/>
        <v xml:space="preserve"> ma_ca_1996_09_14_696</v>
      </c>
      <c r="C101" s="1">
        <f t="shared" si="8"/>
        <v>45789</v>
      </c>
      <c r="D101" t="s">
        <v>78</v>
      </c>
      <c r="E101">
        <v>221.78800000000001</v>
      </c>
      <c r="F101">
        <v>221.608</v>
      </c>
      <c r="G101">
        <v>2.6389999999999998</v>
      </c>
      <c r="H101">
        <v>211.43799999999999</v>
      </c>
      <c r="I101">
        <v>9.8958333333333329E-3</v>
      </c>
      <c r="J101">
        <v>238.37799999999999</v>
      </c>
      <c r="K101">
        <v>0.98541666666666661</v>
      </c>
      <c r="L101">
        <v>0.498</v>
      </c>
      <c r="M101">
        <v>-26.602</v>
      </c>
      <c r="N101">
        <v>601.48900000000003</v>
      </c>
      <c r="O101">
        <v>539.12</v>
      </c>
      <c r="P101">
        <v>153.37899999999999</v>
      </c>
      <c r="Q101">
        <v>431.29599999999999</v>
      </c>
      <c r="R101">
        <v>916.50400000000002</v>
      </c>
      <c r="S101">
        <v>1114.93</v>
      </c>
      <c r="T101">
        <v>1132.152</v>
      </c>
      <c r="U101">
        <v>44.167000000000002</v>
      </c>
      <c r="V101">
        <v>1024.328</v>
      </c>
      <c r="W101">
        <v>1239.9760000000001</v>
      </c>
      <c r="X101">
        <v>2607.3310000000001</v>
      </c>
      <c r="Y101">
        <v>2533.8629999999998</v>
      </c>
      <c r="Z101">
        <v>235.88800000000001</v>
      </c>
      <c r="AA101">
        <v>2210.3910000000001</v>
      </c>
      <c r="AB101">
        <v>3234.7190000000001</v>
      </c>
      <c r="AC101">
        <v>1.92</v>
      </c>
      <c r="AD101">
        <v>228.24199999999999</v>
      </c>
      <c r="AE101">
        <v>227.48699999999999</v>
      </c>
      <c r="AF101">
        <v>2.87</v>
      </c>
      <c r="AG101">
        <v>219.40299999999999</v>
      </c>
      <c r="AH101">
        <v>0.99719101123595499</v>
      </c>
      <c r="AI101">
        <v>239.11699999999999</v>
      </c>
      <c r="AJ101">
        <v>3.2022471910112357E-2</v>
      </c>
      <c r="AK101">
        <v>0.43099999999999999</v>
      </c>
      <c r="AL101">
        <v>-29.65</v>
      </c>
      <c r="AM101">
        <v>392.53899999999999</v>
      </c>
      <c r="AN101">
        <v>386.84199999999998</v>
      </c>
      <c r="AO101">
        <v>16.891999999999999</v>
      </c>
      <c r="AP101">
        <v>386.84199999999998</v>
      </c>
      <c r="AQ101">
        <v>442.10500000000002</v>
      </c>
      <c r="AW101">
        <v>3822.8429999999998</v>
      </c>
      <c r="AX101">
        <v>3813.1579999999999</v>
      </c>
      <c r="AY101">
        <v>188.42400000000001</v>
      </c>
      <c r="AZ101">
        <v>3094.7370000000001</v>
      </c>
      <c r="BA101">
        <v>4200</v>
      </c>
      <c r="BB101">
        <v>1.78</v>
      </c>
      <c r="BC101">
        <v>228.48099999999999</v>
      </c>
      <c r="BD101">
        <v>226.98500000000001</v>
      </c>
      <c r="BE101">
        <v>6.0679999999999996</v>
      </c>
      <c r="BF101">
        <v>213.04300000000001</v>
      </c>
      <c r="BG101">
        <v>0.9966666666666667</v>
      </c>
      <c r="BH101">
        <v>252.20599999999999</v>
      </c>
      <c r="BI101">
        <v>2.1111111111111112E-2</v>
      </c>
      <c r="BJ101">
        <v>0.40600000000000003</v>
      </c>
      <c r="BK101">
        <v>-31.305</v>
      </c>
      <c r="BL101">
        <v>446.053</v>
      </c>
      <c r="BM101">
        <v>442.10500000000002</v>
      </c>
      <c r="BN101">
        <v>19.838000000000001</v>
      </c>
      <c r="BO101">
        <v>386.84199999999998</v>
      </c>
      <c r="BP101">
        <v>552.63199999999995</v>
      </c>
      <c r="BQ101">
        <v>947.976</v>
      </c>
      <c r="BR101">
        <v>939.47400000000005</v>
      </c>
      <c r="BS101">
        <v>20.334</v>
      </c>
      <c r="BT101">
        <v>939.47400000000005</v>
      </c>
      <c r="BU101">
        <v>994.73699999999997</v>
      </c>
      <c r="BV101">
        <v>3619.7370000000001</v>
      </c>
      <c r="BW101">
        <v>3702.6320000000001</v>
      </c>
      <c r="BX101">
        <v>223.77799999999999</v>
      </c>
      <c r="BY101">
        <v>2652.6320000000001</v>
      </c>
      <c r="BZ101">
        <v>3923.6840000000002</v>
      </c>
      <c r="CA101">
        <v>1.8</v>
      </c>
      <c r="CB101">
        <v>7</v>
      </c>
      <c r="CC101">
        <v>1</v>
      </c>
      <c r="CD101">
        <v>0</v>
      </c>
      <c r="CE101">
        <v>0</v>
      </c>
      <c r="CF101">
        <v>0</v>
      </c>
    </row>
    <row r="102" spans="1:84" x14ac:dyDescent="0.35">
      <c r="A102" t="s">
        <v>367</v>
      </c>
      <c r="B102" t="str">
        <f t="shared" si="7"/>
        <v xml:space="preserve"> ma_fa_2000_06_25_721</v>
      </c>
      <c r="C102" s="1">
        <f t="shared" si="8"/>
        <v>45761</v>
      </c>
      <c r="D102" t="s">
        <v>78</v>
      </c>
      <c r="E102">
        <v>196.434</v>
      </c>
      <c r="F102">
        <v>196.249</v>
      </c>
      <c r="G102">
        <v>2.02</v>
      </c>
      <c r="H102">
        <v>192.09700000000001</v>
      </c>
      <c r="I102">
        <v>3.9197530864197527E-2</v>
      </c>
      <c r="J102">
        <v>208.15899999999999</v>
      </c>
      <c r="K102">
        <v>0.999074074074074</v>
      </c>
      <c r="L102">
        <v>0.39200000000000002</v>
      </c>
      <c r="M102">
        <v>-30.09</v>
      </c>
      <c r="N102">
        <v>385.67</v>
      </c>
      <c r="O102">
        <v>378.13499999999999</v>
      </c>
      <c r="P102">
        <v>50.518000000000001</v>
      </c>
      <c r="Q102">
        <v>283.601</v>
      </c>
      <c r="R102">
        <v>567.20299999999997</v>
      </c>
      <c r="S102">
        <v>1174.2439999999999</v>
      </c>
      <c r="T102">
        <v>1181.672</v>
      </c>
      <c r="U102">
        <v>52.661999999999999</v>
      </c>
      <c r="V102">
        <v>1087.1379999999999</v>
      </c>
      <c r="W102">
        <v>1323.473</v>
      </c>
      <c r="X102">
        <v>3072.9690000000001</v>
      </c>
      <c r="Y102">
        <v>3119.614</v>
      </c>
      <c r="Z102">
        <v>295.75700000000001</v>
      </c>
      <c r="AA102">
        <v>2410.6109999999999</v>
      </c>
      <c r="AB102">
        <v>3545.0160000000001</v>
      </c>
      <c r="AC102">
        <v>3.24</v>
      </c>
      <c r="AD102">
        <v>195.98400000000001</v>
      </c>
      <c r="AE102">
        <v>196</v>
      </c>
      <c r="AF102">
        <v>1.3149999999999999</v>
      </c>
      <c r="AG102">
        <v>191.858</v>
      </c>
      <c r="AH102">
        <v>2.5903614457831323E-2</v>
      </c>
      <c r="AI102">
        <v>202.29400000000001</v>
      </c>
      <c r="AJ102">
        <v>6.325301204819278E-3</v>
      </c>
      <c r="AK102">
        <v>0.26800000000000002</v>
      </c>
      <c r="AL102">
        <v>-31.279</v>
      </c>
      <c r="AM102">
        <v>324.60700000000003</v>
      </c>
      <c r="AN102">
        <v>329.10399999999998</v>
      </c>
      <c r="AO102">
        <v>13.888</v>
      </c>
      <c r="AP102">
        <v>282.08999999999997</v>
      </c>
      <c r="AQ102">
        <v>329.10399999999998</v>
      </c>
      <c r="AR102">
        <v>1692.537</v>
      </c>
      <c r="AS102">
        <v>1692.537</v>
      </c>
      <c r="AT102">
        <v>0</v>
      </c>
      <c r="AU102">
        <v>1692.537</v>
      </c>
      <c r="AV102">
        <v>1692.537</v>
      </c>
      <c r="AW102">
        <v>3352.922</v>
      </c>
      <c r="AX102">
        <v>3338.06</v>
      </c>
      <c r="AY102">
        <v>75.153999999999996</v>
      </c>
      <c r="AZ102">
        <v>3150</v>
      </c>
      <c r="BA102">
        <v>3526.1190000000001</v>
      </c>
      <c r="BB102">
        <v>3.32</v>
      </c>
      <c r="BC102">
        <v>201.73500000000001</v>
      </c>
      <c r="BD102">
        <v>201.37</v>
      </c>
      <c r="BE102">
        <v>2.3519999999999999</v>
      </c>
      <c r="BF102">
        <v>198.905</v>
      </c>
      <c r="BG102">
        <v>0.63454545454545452</v>
      </c>
      <c r="BH102">
        <v>226.154</v>
      </c>
      <c r="BI102">
        <v>0</v>
      </c>
      <c r="BJ102">
        <v>0.32900000000000001</v>
      </c>
      <c r="BK102">
        <v>-31.675999999999998</v>
      </c>
      <c r="BL102">
        <v>405.62099999999998</v>
      </c>
      <c r="BM102">
        <v>388.11900000000003</v>
      </c>
      <c r="BN102">
        <v>26.946999999999999</v>
      </c>
      <c r="BO102">
        <v>339.60399999999998</v>
      </c>
      <c r="BP102">
        <v>485.149</v>
      </c>
      <c r="BQ102">
        <v>977.95699999999999</v>
      </c>
      <c r="BR102">
        <v>970.29700000000003</v>
      </c>
      <c r="BS102">
        <v>50.692999999999998</v>
      </c>
      <c r="BT102">
        <v>970.29700000000003</v>
      </c>
      <c r="BU102">
        <v>1455.4459999999999</v>
      </c>
      <c r="BV102">
        <v>3042.0949999999998</v>
      </c>
      <c r="BW102">
        <v>3056.4360000000001</v>
      </c>
      <c r="BX102">
        <v>126.553</v>
      </c>
      <c r="BY102">
        <v>2765.3470000000002</v>
      </c>
      <c r="BZ102">
        <v>3493.069</v>
      </c>
      <c r="CA102">
        <v>3.3</v>
      </c>
      <c r="CB102">
        <v>5</v>
      </c>
      <c r="CC102">
        <v>0</v>
      </c>
      <c r="CD102">
        <v>0</v>
      </c>
      <c r="CE102">
        <v>2</v>
      </c>
      <c r="CF102">
        <v>4</v>
      </c>
    </row>
    <row r="103" spans="1:84" x14ac:dyDescent="0.35">
      <c r="A103" t="s">
        <v>368</v>
      </c>
      <c r="B103" t="str">
        <f t="shared" si="7"/>
        <v xml:space="preserve"> ma_ie_2000_07_31_515</v>
      </c>
      <c r="C103" s="1">
        <f t="shared" si="8"/>
        <v>45761</v>
      </c>
      <c r="D103" t="s">
        <v>78</v>
      </c>
      <c r="E103">
        <v>180.11699999999999</v>
      </c>
      <c r="F103">
        <v>180.21</v>
      </c>
      <c r="G103">
        <v>1.419</v>
      </c>
      <c r="H103">
        <v>176.905</v>
      </c>
      <c r="I103">
        <v>8.8535031847133766E-2</v>
      </c>
      <c r="J103">
        <v>190.08600000000001</v>
      </c>
      <c r="K103">
        <v>0.99363057324840764</v>
      </c>
      <c r="L103">
        <v>0.54900000000000004</v>
      </c>
      <c r="M103">
        <v>-20.863</v>
      </c>
      <c r="N103">
        <v>445.43799999999999</v>
      </c>
      <c r="O103">
        <v>428.988</v>
      </c>
      <c r="P103">
        <v>49.738</v>
      </c>
      <c r="Q103">
        <v>386.089</v>
      </c>
      <c r="R103">
        <v>557.68499999999995</v>
      </c>
      <c r="S103">
        <v>1183.943</v>
      </c>
      <c r="T103">
        <v>1201.1669999999999</v>
      </c>
      <c r="U103">
        <v>38.537999999999997</v>
      </c>
      <c r="V103">
        <v>1115.3699999999999</v>
      </c>
      <c r="W103">
        <v>1286.9649999999999</v>
      </c>
      <c r="X103">
        <v>3039.6889999999999</v>
      </c>
      <c r="Y103">
        <v>3045.817</v>
      </c>
      <c r="Z103">
        <v>77.632999999999996</v>
      </c>
      <c r="AA103">
        <v>2788.424</v>
      </c>
      <c r="AB103">
        <v>3174.5140000000001</v>
      </c>
      <c r="AC103">
        <v>3.14</v>
      </c>
      <c r="AD103">
        <v>189.35400000000001</v>
      </c>
      <c r="AE103">
        <v>189.50299999999999</v>
      </c>
      <c r="AF103">
        <v>3.0009999999999999</v>
      </c>
      <c r="AG103">
        <v>168.41200000000001</v>
      </c>
      <c r="AH103">
        <v>0</v>
      </c>
      <c r="AI103">
        <v>200.19499999999999</v>
      </c>
      <c r="AJ103">
        <v>0.85581395348837208</v>
      </c>
      <c r="AK103">
        <v>0.46100000000000002</v>
      </c>
      <c r="AL103">
        <v>-27.908000000000001</v>
      </c>
      <c r="AM103">
        <v>358.88600000000002</v>
      </c>
      <c r="AN103">
        <v>361.10500000000002</v>
      </c>
      <c r="AO103">
        <v>9842</v>
      </c>
      <c r="AP103">
        <v>315.96699999999998</v>
      </c>
      <c r="AQ103">
        <v>361.10500000000002</v>
      </c>
      <c r="AR103">
        <v>1655.067</v>
      </c>
      <c r="AS103">
        <v>1670.1130000000001</v>
      </c>
      <c r="AT103">
        <v>67.706999999999994</v>
      </c>
      <c r="AU103">
        <v>1579.836</v>
      </c>
      <c r="AV103">
        <v>1760.3889999999999</v>
      </c>
      <c r="AW103">
        <v>3233.828</v>
      </c>
      <c r="AX103">
        <v>3204.8110000000001</v>
      </c>
      <c r="AY103">
        <v>74.906999999999996</v>
      </c>
      <c r="AZ103">
        <v>3069.3960000000002</v>
      </c>
      <c r="BA103">
        <v>3475.64</v>
      </c>
      <c r="BB103">
        <v>3.44</v>
      </c>
      <c r="BC103">
        <v>192.155</v>
      </c>
      <c r="BD103">
        <v>192.21700000000001</v>
      </c>
      <c r="BE103">
        <v>1.718</v>
      </c>
      <c r="BF103">
        <v>189.154</v>
      </c>
      <c r="BG103">
        <v>0.37368421052631579</v>
      </c>
      <c r="BH103">
        <v>203.36</v>
      </c>
      <c r="BI103">
        <v>0.99210526315789471</v>
      </c>
      <c r="BJ103">
        <v>0.36799999999999999</v>
      </c>
      <c r="BK103">
        <v>-27.18</v>
      </c>
      <c r="BL103">
        <v>320.81</v>
      </c>
      <c r="BM103">
        <v>319.89600000000002</v>
      </c>
      <c r="BN103">
        <v>8321</v>
      </c>
      <c r="BO103">
        <v>274.197</v>
      </c>
      <c r="BP103">
        <v>365.596</v>
      </c>
      <c r="BQ103">
        <v>1301.8910000000001</v>
      </c>
      <c r="BR103">
        <v>1325.2850000000001</v>
      </c>
      <c r="BS103">
        <v>64.432000000000002</v>
      </c>
      <c r="BT103">
        <v>1188.1869999999999</v>
      </c>
      <c r="BU103">
        <v>1416.684</v>
      </c>
      <c r="BV103">
        <v>3201.3220000000001</v>
      </c>
      <c r="BW103">
        <v>3153.2640000000001</v>
      </c>
      <c r="BX103">
        <v>284.43099999999998</v>
      </c>
      <c r="BY103">
        <v>2604.87</v>
      </c>
      <c r="BZ103">
        <v>3975.855</v>
      </c>
      <c r="CA103">
        <v>3.42</v>
      </c>
    </row>
    <row r="104" spans="1:84" x14ac:dyDescent="0.35">
      <c r="A104" t="s">
        <v>369</v>
      </c>
      <c r="B104" t="str">
        <f t="shared" si="7"/>
        <v xml:space="preserve"> ma_lo_2005_06_26_262</v>
      </c>
      <c r="C104" s="1">
        <f t="shared" si="8"/>
        <v>45761</v>
      </c>
      <c r="D104" t="s">
        <v>78</v>
      </c>
      <c r="E104">
        <v>187.631</v>
      </c>
      <c r="F104">
        <v>191.79900000000001</v>
      </c>
      <c r="G104">
        <v>20.611000000000001</v>
      </c>
      <c r="H104">
        <v>94.605999999999995</v>
      </c>
      <c r="I104">
        <v>0.97011494252873565</v>
      </c>
      <c r="J104">
        <v>201.89699999999999</v>
      </c>
      <c r="K104">
        <v>2.528735632183908E-2</v>
      </c>
      <c r="L104">
        <v>3.0339999999999998</v>
      </c>
      <c r="M104">
        <v>-26.36</v>
      </c>
      <c r="N104">
        <v>603.38900000000001</v>
      </c>
      <c r="O104">
        <v>592.86500000000001</v>
      </c>
      <c r="P104">
        <v>47.018000000000001</v>
      </c>
      <c r="Q104">
        <v>547.26</v>
      </c>
      <c r="R104">
        <v>729.67899999999997</v>
      </c>
      <c r="S104">
        <v>1077.4169999999999</v>
      </c>
      <c r="T104">
        <v>1094.519</v>
      </c>
      <c r="U104">
        <v>25.245999999999999</v>
      </c>
      <c r="V104">
        <v>1048.914</v>
      </c>
      <c r="W104">
        <v>1140.124</v>
      </c>
      <c r="X104">
        <v>2865.5120000000002</v>
      </c>
      <c r="Y104">
        <v>2873.1129999999998</v>
      </c>
      <c r="Z104">
        <v>120.417</v>
      </c>
      <c r="AA104">
        <v>2417.0630000000001</v>
      </c>
      <c r="AB104">
        <v>3237.9520000000002</v>
      </c>
      <c r="AC104">
        <v>1.74</v>
      </c>
      <c r="AD104">
        <v>194.369</v>
      </c>
      <c r="AE104">
        <v>194.15100000000001</v>
      </c>
      <c r="AF104">
        <v>2.452</v>
      </c>
      <c r="AG104">
        <v>187.88800000000001</v>
      </c>
      <c r="AH104">
        <v>0.97439024390243911</v>
      </c>
      <c r="AI104">
        <v>202.959</v>
      </c>
      <c r="AJ104">
        <v>1.2195121951219513E-2</v>
      </c>
      <c r="AK104">
        <v>0.505</v>
      </c>
      <c r="AL104">
        <v>-25.696000000000002</v>
      </c>
      <c r="AM104">
        <v>347.024</v>
      </c>
      <c r="AN104">
        <v>369.81099999999998</v>
      </c>
      <c r="AO104">
        <v>23.274999999999999</v>
      </c>
      <c r="AP104">
        <v>323.58499999999998</v>
      </c>
      <c r="AQ104">
        <v>369.81099999999998</v>
      </c>
      <c r="AR104">
        <v>1968.6079999999999</v>
      </c>
      <c r="AS104">
        <v>1941.509</v>
      </c>
      <c r="AT104">
        <v>172.75</v>
      </c>
      <c r="AU104">
        <v>1710.377</v>
      </c>
      <c r="AV104">
        <v>2357.547</v>
      </c>
      <c r="AW104">
        <v>3309.5610000000001</v>
      </c>
      <c r="AX104">
        <v>3258.962</v>
      </c>
      <c r="AY104">
        <v>260.36500000000001</v>
      </c>
      <c r="AZ104">
        <v>2958.491</v>
      </c>
      <c r="BA104">
        <v>4345.2830000000004</v>
      </c>
      <c r="BB104">
        <v>1.64</v>
      </c>
      <c r="BC104">
        <v>190.75700000000001</v>
      </c>
      <c r="BD104">
        <v>192.15700000000001</v>
      </c>
      <c r="BE104">
        <v>11.782</v>
      </c>
      <c r="BF104">
        <v>99.742000000000004</v>
      </c>
      <c r="BG104">
        <v>1.3698630136986302E-2</v>
      </c>
      <c r="BH104">
        <v>198.012</v>
      </c>
      <c r="BI104">
        <v>0.96506849315068499</v>
      </c>
      <c r="BJ104">
        <v>1.909</v>
      </c>
      <c r="BK104">
        <v>-26.762</v>
      </c>
      <c r="BL104">
        <v>386.68299999999999</v>
      </c>
      <c r="BM104">
        <v>401.31400000000002</v>
      </c>
      <c r="BN104">
        <v>21.102</v>
      </c>
      <c r="BO104">
        <v>356.72399999999999</v>
      </c>
      <c r="BP104">
        <v>401.31400000000002</v>
      </c>
      <c r="BQ104">
        <v>980.99099999999999</v>
      </c>
      <c r="BR104">
        <v>980.99099999999999</v>
      </c>
      <c r="BS104">
        <v>0</v>
      </c>
      <c r="BT104">
        <v>980.99099999999999</v>
      </c>
      <c r="BU104">
        <v>980.99099999999999</v>
      </c>
      <c r="BV104">
        <v>3470.395</v>
      </c>
      <c r="BW104">
        <v>3478.0590000000002</v>
      </c>
      <c r="BX104">
        <v>190.934</v>
      </c>
      <c r="BY104">
        <v>2898.3820000000001</v>
      </c>
      <c r="BZ104">
        <v>3968.5540000000001</v>
      </c>
      <c r="CA104">
        <v>1.46</v>
      </c>
      <c r="CB104">
        <v>7</v>
      </c>
      <c r="CC104">
        <v>0</v>
      </c>
      <c r="CD104">
        <v>1</v>
      </c>
      <c r="CE104">
        <v>4</v>
      </c>
      <c r="CF104">
        <v>0</v>
      </c>
    </row>
    <row r="105" spans="1:84" x14ac:dyDescent="0.35">
      <c r="A105" t="s">
        <v>370</v>
      </c>
      <c r="B105" t="str">
        <f t="shared" si="7"/>
        <v xml:space="preserve"> ma_ma_2004_10_11_947</v>
      </c>
      <c r="C105" s="1">
        <f t="shared" si="8"/>
        <v>45761</v>
      </c>
      <c r="D105" t="s">
        <v>78</v>
      </c>
      <c r="E105">
        <v>180.67500000000001</v>
      </c>
      <c r="F105">
        <v>179.268</v>
      </c>
      <c r="G105">
        <v>6.0250000000000004</v>
      </c>
      <c r="H105">
        <v>176.905</v>
      </c>
      <c r="I105">
        <v>0.34776119402985073</v>
      </c>
      <c r="J105">
        <v>220.5</v>
      </c>
      <c r="K105">
        <v>1.7164179104477612E-2</v>
      </c>
      <c r="L105">
        <v>0.995</v>
      </c>
      <c r="M105">
        <v>-22.315000000000001</v>
      </c>
      <c r="N105">
        <v>697.05399999999997</v>
      </c>
      <c r="O105">
        <v>698.61400000000003</v>
      </c>
      <c r="P105">
        <v>65.010999999999996</v>
      </c>
      <c r="Q105">
        <v>480.29700000000003</v>
      </c>
      <c r="R105">
        <v>829.60400000000004</v>
      </c>
      <c r="S105">
        <v>1254.7470000000001</v>
      </c>
      <c r="T105">
        <v>1266.2380000000001</v>
      </c>
      <c r="U105">
        <v>59.231999999999999</v>
      </c>
      <c r="V105">
        <v>1178.9110000000001</v>
      </c>
      <c r="W105">
        <v>1397.2280000000001</v>
      </c>
      <c r="X105">
        <v>3291.605</v>
      </c>
      <c r="Y105">
        <v>3274.752</v>
      </c>
      <c r="Z105">
        <v>364.26400000000001</v>
      </c>
      <c r="AA105">
        <v>2663.4650000000001</v>
      </c>
      <c r="AB105">
        <v>4235.3469999999998</v>
      </c>
      <c r="AC105">
        <v>1.34</v>
      </c>
      <c r="AD105">
        <v>179.369</v>
      </c>
      <c r="AE105">
        <v>180.315</v>
      </c>
      <c r="AF105">
        <v>11.775</v>
      </c>
      <c r="AG105">
        <v>96.138000000000005</v>
      </c>
      <c r="AH105">
        <v>0</v>
      </c>
      <c r="AI105">
        <v>191.38300000000001</v>
      </c>
      <c r="AJ105">
        <v>0.98076923076923062</v>
      </c>
      <c r="AK105">
        <v>2.145</v>
      </c>
      <c r="AL105">
        <v>-25.428999999999998</v>
      </c>
      <c r="AM105">
        <v>337.24400000000003</v>
      </c>
      <c r="AN105">
        <v>338.90499999999997</v>
      </c>
      <c r="AO105">
        <v>8305</v>
      </c>
      <c r="AP105">
        <v>296.54199999999997</v>
      </c>
      <c r="AQ105">
        <v>338.90499999999997</v>
      </c>
      <c r="AR105">
        <v>1802.3579999999999</v>
      </c>
      <c r="AS105">
        <v>1821.614</v>
      </c>
      <c r="AT105">
        <v>137.09399999999999</v>
      </c>
      <c r="AU105">
        <v>1525.0719999999999</v>
      </c>
      <c r="AV105">
        <v>1991.066</v>
      </c>
      <c r="AW105">
        <v>4534.4219999999996</v>
      </c>
      <c r="AX105">
        <v>4532.8530000000001</v>
      </c>
      <c r="AY105">
        <v>299.661</v>
      </c>
      <c r="AZ105">
        <v>3685.5909999999999</v>
      </c>
      <c r="BA105">
        <v>5125.9369999999999</v>
      </c>
      <c r="BB105">
        <v>1.3</v>
      </c>
      <c r="BC105">
        <v>183.26900000000001</v>
      </c>
      <c r="BD105">
        <v>183.20500000000001</v>
      </c>
      <c r="BE105">
        <v>2.6960000000000002</v>
      </c>
      <c r="BF105">
        <v>179.06</v>
      </c>
      <c r="BG105">
        <v>0.65223880597014916</v>
      </c>
      <c r="BH105">
        <v>196.125</v>
      </c>
      <c r="BI105">
        <v>1.4925373134328358E-2</v>
      </c>
      <c r="BJ105">
        <v>0.52500000000000002</v>
      </c>
      <c r="BK105">
        <v>-29.681999999999999</v>
      </c>
      <c r="BL105">
        <v>362.68400000000003</v>
      </c>
      <c r="BM105">
        <v>352.8</v>
      </c>
      <c r="BN105">
        <v>20.306999999999999</v>
      </c>
      <c r="BO105">
        <v>308.7</v>
      </c>
      <c r="BP105">
        <v>396.9</v>
      </c>
      <c r="BQ105">
        <v>1003.275</v>
      </c>
      <c r="BR105">
        <v>970.2</v>
      </c>
      <c r="BS105">
        <v>76.382999999999996</v>
      </c>
      <c r="BT105">
        <v>970.2</v>
      </c>
      <c r="BU105">
        <v>1190.7</v>
      </c>
      <c r="BV105">
        <v>3729.491</v>
      </c>
      <c r="BW105">
        <v>3792.6</v>
      </c>
      <c r="BX105">
        <v>212.721</v>
      </c>
      <c r="BY105">
        <v>2998.8</v>
      </c>
      <c r="BZ105">
        <v>4057.2</v>
      </c>
      <c r="CA105">
        <v>1.34</v>
      </c>
      <c r="CB105">
        <v>5</v>
      </c>
      <c r="CC105">
        <v>0</v>
      </c>
      <c r="CD105">
        <v>0</v>
      </c>
      <c r="CE105">
        <v>2</v>
      </c>
      <c r="CF105">
        <v>4</v>
      </c>
    </row>
    <row r="106" spans="1:84" x14ac:dyDescent="0.35">
      <c r="A106" t="s">
        <v>371</v>
      </c>
      <c r="B106" t="str">
        <f t="shared" si="7"/>
        <v xml:space="preserve"> ma_ma_2005_05_18_423</v>
      </c>
      <c r="C106" s="1">
        <f t="shared" si="8"/>
        <v>45761</v>
      </c>
      <c r="D106" t="s">
        <v>78</v>
      </c>
      <c r="E106">
        <v>145.73400000000001</v>
      </c>
      <c r="F106">
        <v>144.726</v>
      </c>
      <c r="G106">
        <v>4.4640000000000004</v>
      </c>
      <c r="H106">
        <v>142.19300000000001</v>
      </c>
      <c r="I106">
        <v>0.86494252873563215</v>
      </c>
      <c r="J106">
        <v>177.31200000000001</v>
      </c>
      <c r="K106">
        <v>0</v>
      </c>
      <c r="L106">
        <v>0.60599999999999998</v>
      </c>
      <c r="M106">
        <v>-24.039000000000001</v>
      </c>
      <c r="N106">
        <v>324.13400000000001</v>
      </c>
      <c r="O106">
        <v>310.56299999999999</v>
      </c>
      <c r="P106">
        <v>39.488</v>
      </c>
      <c r="Q106">
        <v>310.56299999999999</v>
      </c>
      <c r="R106">
        <v>621.12699999999995</v>
      </c>
      <c r="S106">
        <v>1321.77</v>
      </c>
      <c r="T106">
        <v>1311.268</v>
      </c>
      <c r="U106">
        <v>76.64</v>
      </c>
      <c r="V106">
        <v>1069.7180000000001</v>
      </c>
      <c r="W106">
        <v>1518.31</v>
      </c>
      <c r="X106">
        <v>2641.9639999999999</v>
      </c>
      <c r="Y106">
        <v>2588.0279999999998</v>
      </c>
      <c r="Z106">
        <v>296.31799999999998</v>
      </c>
      <c r="AA106">
        <v>2035.915</v>
      </c>
      <c r="AB106">
        <v>3588.732</v>
      </c>
      <c r="AC106">
        <v>3.48</v>
      </c>
      <c r="AD106">
        <v>145.857</v>
      </c>
      <c r="AE106">
        <v>144.05000000000001</v>
      </c>
      <c r="AF106">
        <v>12.615</v>
      </c>
      <c r="AG106">
        <v>141.21700000000001</v>
      </c>
      <c r="AH106">
        <v>0.20333333333333331</v>
      </c>
      <c r="AI106">
        <v>269.37200000000001</v>
      </c>
      <c r="AJ106">
        <v>0</v>
      </c>
      <c r="AK106">
        <v>0.747</v>
      </c>
      <c r="AL106">
        <v>-24.678999999999998</v>
      </c>
      <c r="AM106">
        <v>310.07799999999997</v>
      </c>
      <c r="AN106">
        <v>310.07799999999997</v>
      </c>
      <c r="AO106">
        <v>10.204000000000001</v>
      </c>
      <c r="AP106">
        <v>275.625</v>
      </c>
      <c r="AQ106">
        <v>344.53100000000001</v>
      </c>
      <c r="AR106">
        <v>1515.9380000000001</v>
      </c>
      <c r="AS106">
        <v>1515.9380000000001</v>
      </c>
      <c r="AT106">
        <v>0</v>
      </c>
      <c r="AU106">
        <v>1515.9380000000001</v>
      </c>
      <c r="AV106">
        <v>1515.9380000000001</v>
      </c>
      <c r="AW106">
        <v>3848.9459999999999</v>
      </c>
      <c r="AX106">
        <v>3858.75</v>
      </c>
      <c r="AY106">
        <v>140.852</v>
      </c>
      <c r="AZ106">
        <v>3445.3130000000001</v>
      </c>
      <c r="BA106">
        <v>4134.375</v>
      </c>
      <c r="BB106">
        <v>3.6</v>
      </c>
      <c r="BC106">
        <v>144.45500000000001</v>
      </c>
      <c r="BD106">
        <v>143.715</v>
      </c>
      <c r="BE106">
        <v>3.0529999999999999</v>
      </c>
      <c r="BF106">
        <v>141.346</v>
      </c>
      <c r="BG106">
        <v>0.56965811965811963</v>
      </c>
      <c r="BH106">
        <v>159.20599999999999</v>
      </c>
      <c r="BI106">
        <v>0</v>
      </c>
      <c r="BJ106">
        <v>0.48</v>
      </c>
      <c r="BK106">
        <v>-25.315999999999999</v>
      </c>
      <c r="BL106">
        <v>312.00200000000001</v>
      </c>
      <c r="BM106">
        <v>307.67399999999998</v>
      </c>
      <c r="BN106">
        <v>12.682</v>
      </c>
      <c r="BO106">
        <v>307.67399999999998</v>
      </c>
      <c r="BP106">
        <v>376.04700000000003</v>
      </c>
      <c r="BQ106">
        <v>1050</v>
      </c>
      <c r="BR106">
        <v>1059.7670000000001</v>
      </c>
      <c r="BS106">
        <v>16.681000000000001</v>
      </c>
      <c r="BT106">
        <v>1025.5809999999999</v>
      </c>
      <c r="BU106">
        <v>1059.7670000000001</v>
      </c>
      <c r="BV106">
        <v>4279.7470000000003</v>
      </c>
      <c r="BW106">
        <v>4307.442</v>
      </c>
      <c r="BX106">
        <v>177.642</v>
      </c>
      <c r="BY106">
        <v>3623.721</v>
      </c>
      <c r="BZ106">
        <v>4580.93</v>
      </c>
      <c r="CA106">
        <v>2.34</v>
      </c>
      <c r="CB106">
        <v>6</v>
      </c>
      <c r="CC106">
        <v>3</v>
      </c>
      <c r="CD106">
        <v>1</v>
      </c>
      <c r="CE106">
        <v>4</v>
      </c>
      <c r="CF106">
        <v>1</v>
      </c>
    </row>
    <row r="107" spans="1:84" x14ac:dyDescent="0.35">
      <c r="A107" t="s">
        <v>372</v>
      </c>
      <c r="B107" t="str">
        <f t="shared" si="7"/>
        <v xml:space="preserve"> ma_ma_2006_04_14_979</v>
      </c>
      <c r="C107" s="1">
        <f t="shared" si="8"/>
        <v>45761</v>
      </c>
      <c r="D107" t="s">
        <v>78</v>
      </c>
      <c r="E107">
        <v>194.95599999999999</v>
      </c>
      <c r="F107">
        <v>195.62700000000001</v>
      </c>
      <c r="G107">
        <v>10.69</v>
      </c>
      <c r="H107">
        <v>106.63200000000001</v>
      </c>
      <c r="I107">
        <v>1.2345679012345678E-2</v>
      </c>
      <c r="J107">
        <v>211.005</v>
      </c>
      <c r="K107">
        <v>0.99938271604938267</v>
      </c>
      <c r="L107">
        <v>1.599</v>
      </c>
      <c r="M107">
        <v>-28.038</v>
      </c>
      <c r="N107">
        <v>565.48099999999999</v>
      </c>
      <c r="O107">
        <v>562.97900000000004</v>
      </c>
      <c r="P107">
        <v>55.56</v>
      </c>
      <c r="Q107">
        <v>422.23399999999998</v>
      </c>
      <c r="R107">
        <v>703.72299999999996</v>
      </c>
      <c r="S107">
        <v>1115.3230000000001</v>
      </c>
      <c r="T107">
        <v>1125.9570000000001</v>
      </c>
      <c r="U107">
        <v>47.277000000000001</v>
      </c>
      <c r="V107">
        <v>985.21299999999997</v>
      </c>
      <c r="W107">
        <v>1219.787</v>
      </c>
      <c r="X107">
        <v>3139.5450000000001</v>
      </c>
      <c r="Y107">
        <v>3143.2979999999998</v>
      </c>
      <c r="Z107">
        <v>78.185000000000002</v>
      </c>
      <c r="AA107">
        <v>2908.723</v>
      </c>
      <c r="AB107">
        <v>3330.9569999999999</v>
      </c>
      <c r="AC107">
        <v>1.62</v>
      </c>
      <c r="AD107">
        <v>195.42500000000001</v>
      </c>
      <c r="AE107">
        <v>195.876</v>
      </c>
      <c r="AF107">
        <v>9.6010000000000009</v>
      </c>
      <c r="AG107">
        <v>110.17100000000001</v>
      </c>
      <c r="AH107">
        <v>0</v>
      </c>
      <c r="AI107">
        <v>207.46</v>
      </c>
      <c r="AJ107">
        <v>1.1702127659574468E-2</v>
      </c>
      <c r="AK107">
        <v>1.43</v>
      </c>
      <c r="AL107">
        <v>-27.515999999999998</v>
      </c>
      <c r="AM107">
        <v>329.846</v>
      </c>
      <c r="AN107">
        <v>328.75400000000002</v>
      </c>
      <c r="AO107">
        <v>7.12</v>
      </c>
      <c r="AP107">
        <v>328.75400000000002</v>
      </c>
      <c r="AQ107">
        <v>375.71899999999999</v>
      </c>
      <c r="AW107">
        <v>3222.221</v>
      </c>
      <c r="AX107">
        <v>3240.5749999999998</v>
      </c>
      <c r="AY107">
        <v>142.047</v>
      </c>
      <c r="AZ107">
        <v>2911.8209999999999</v>
      </c>
      <c r="BA107">
        <v>3804.1529999999998</v>
      </c>
      <c r="BB107">
        <v>1.88</v>
      </c>
      <c r="BC107">
        <v>196.13</v>
      </c>
      <c r="BD107">
        <v>195.62700000000001</v>
      </c>
      <c r="BE107">
        <v>2.8420000000000001</v>
      </c>
      <c r="BF107">
        <v>192.57599999999999</v>
      </c>
      <c r="BG107">
        <v>0.50425531914893618</v>
      </c>
      <c r="BH107">
        <v>215.12200000000001</v>
      </c>
      <c r="BI107">
        <v>1.1702127659574468E-2</v>
      </c>
      <c r="BJ107">
        <v>0.379</v>
      </c>
      <c r="BK107">
        <v>-26.588999999999999</v>
      </c>
      <c r="BL107">
        <v>374.09899999999999</v>
      </c>
      <c r="BM107">
        <v>375.71899999999999</v>
      </c>
      <c r="BN107">
        <v>15.105</v>
      </c>
      <c r="BO107">
        <v>328.75400000000002</v>
      </c>
      <c r="BP107">
        <v>469.649</v>
      </c>
      <c r="BQ107">
        <v>1080.192</v>
      </c>
      <c r="BR107">
        <v>986.26199999999994</v>
      </c>
      <c r="BS107">
        <v>184.90100000000001</v>
      </c>
      <c r="BT107">
        <v>986.26199999999994</v>
      </c>
      <c r="BU107">
        <v>1408.9459999999999</v>
      </c>
      <c r="BV107">
        <v>3160.681</v>
      </c>
      <c r="BW107">
        <v>3146.645</v>
      </c>
      <c r="BX107">
        <v>184.43100000000001</v>
      </c>
      <c r="BY107">
        <v>2864.8560000000002</v>
      </c>
      <c r="BZ107">
        <v>4038.9780000000001</v>
      </c>
      <c r="CA107">
        <v>1.88</v>
      </c>
      <c r="CB107">
        <v>7</v>
      </c>
      <c r="CC107">
        <v>3</v>
      </c>
      <c r="CD107">
        <v>0</v>
      </c>
      <c r="CE107">
        <v>5</v>
      </c>
      <c r="CF107">
        <v>0</v>
      </c>
    </row>
    <row r="108" spans="1:84" x14ac:dyDescent="0.35">
      <c r="A108" t="s">
        <v>373</v>
      </c>
      <c r="B108" t="str">
        <f t="shared" si="7"/>
        <v xml:space="preserve"> ma_mo_2005_03_08_142</v>
      </c>
      <c r="C108" s="1">
        <f t="shared" si="8"/>
        <v>45761</v>
      </c>
      <c r="D108" t="s">
        <v>78</v>
      </c>
      <c r="E108">
        <v>204.833</v>
      </c>
      <c r="F108">
        <v>203.62799999999999</v>
      </c>
      <c r="G108">
        <v>7.0640000000000001</v>
      </c>
      <c r="H108">
        <v>197.631</v>
      </c>
      <c r="I108">
        <v>9.5669291338582679E-2</v>
      </c>
      <c r="J108">
        <v>256.39499999999998</v>
      </c>
      <c r="K108">
        <v>0</v>
      </c>
      <c r="L108">
        <v>0.72499999999999998</v>
      </c>
      <c r="M108">
        <v>-20.603000000000002</v>
      </c>
      <c r="N108">
        <v>798.27499999999998</v>
      </c>
      <c r="O108">
        <v>795.49</v>
      </c>
      <c r="P108">
        <v>76.373999999999995</v>
      </c>
      <c r="Q108">
        <v>497.18200000000002</v>
      </c>
      <c r="R108">
        <v>994.36300000000006</v>
      </c>
      <c r="S108">
        <v>1258.4659999999999</v>
      </c>
      <c r="T108">
        <v>1242.954</v>
      </c>
      <c r="U108">
        <v>53.731999999999999</v>
      </c>
      <c r="V108">
        <v>1193.2360000000001</v>
      </c>
      <c r="W108">
        <v>1740.135</v>
      </c>
      <c r="X108">
        <v>3148.5509999999999</v>
      </c>
      <c r="Y108">
        <v>3181.962</v>
      </c>
      <c r="Z108">
        <v>124.34</v>
      </c>
      <c r="AA108">
        <v>2784.2159999999999</v>
      </c>
      <c r="AB108">
        <v>3728.8609999999999</v>
      </c>
      <c r="AC108">
        <v>2.54</v>
      </c>
      <c r="AD108">
        <v>208.16900000000001</v>
      </c>
      <c r="AE108">
        <v>205.38900000000001</v>
      </c>
      <c r="AF108">
        <v>13.206</v>
      </c>
      <c r="AG108">
        <v>187.09100000000001</v>
      </c>
      <c r="AH108">
        <v>0.95799999999999996</v>
      </c>
      <c r="AI108">
        <v>297.97300000000001</v>
      </c>
      <c r="AJ108">
        <v>0.96639999999999993</v>
      </c>
      <c r="AK108">
        <v>1.097</v>
      </c>
      <c r="AL108">
        <v>-28.390999999999998</v>
      </c>
      <c r="AM108">
        <v>351.20499999999998</v>
      </c>
      <c r="AN108">
        <v>350.39699999999999</v>
      </c>
      <c r="AO108">
        <v>14.25</v>
      </c>
      <c r="AP108">
        <v>300.34100000000001</v>
      </c>
      <c r="AQ108">
        <v>400.45400000000001</v>
      </c>
      <c r="AR108">
        <v>1451.646</v>
      </c>
      <c r="AS108">
        <v>1451.646</v>
      </c>
      <c r="AT108">
        <v>0</v>
      </c>
      <c r="AU108">
        <v>1451.646</v>
      </c>
      <c r="AV108">
        <v>1451.646</v>
      </c>
      <c r="AW108">
        <v>3705.4110000000001</v>
      </c>
      <c r="AX108">
        <v>3754.2570000000001</v>
      </c>
      <c r="AY108">
        <v>160.905</v>
      </c>
      <c r="AZ108">
        <v>3003.4050000000002</v>
      </c>
      <c r="BA108">
        <v>4004.54</v>
      </c>
      <c r="BB108">
        <v>2.5</v>
      </c>
      <c r="BC108">
        <v>205.20500000000001</v>
      </c>
      <c r="BD108">
        <v>205.8</v>
      </c>
      <c r="BE108">
        <v>9.2840000000000007</v>
      </c>
      <c r="BF108">
        <v>105.358</v>
      </c>
      <c r="BG108">
        <v>0.97404580152671749</v>
      </c>
      <c r="BH108">
        <v>221.608</v>
      </c>
      <c r="BI108">
        <v>0.98206106870229004</v>
      </c>
      <c r="BJ108">
        <v>1.9410000000000001</v>
      </c>
      <c r="BK108">
        <v>-31.434000000000001</v>
      </c>
      <c r="BL108">
        <v>400.58300000000003</v>
      </c>
      <c r="BM108">
        <v>398.19400000000002</v>
      </c>
      <c r="BN108">
        <v>18.812000000000001</v>
      </c>
      <c r="BO108">
        <v>298.64600000000002</v>
      </c>
      <c r="BP108">
        <v>447.96800000000002</v>
      </c>
      <c r="BQ108">
        <v>1059.259</v>
      </c>
      <c r="BR108">
        <v>1045.26</v>
      </c>
      <c r="BS108">
        <v>66.38</v>
      </c>
      <c r="BT108">
        <v>995.48500000000001</v>
      </c>
      <c r="BU108">
        <v>1543.002</v>
      </c>
      <c r="BV108">
        <v>3307.0949999999998</v>
      </c>
      <c r="BW108">
        <v>3285.1019999999999</v>
      </c>
      <c r="BX108">
        <v>210.43100000000001</v>
      </c>
      <c r="BY108">
        <v>2687.81</v>
      </c>
      <c r="BZ108">
        <v>3932.1669999999999</v>
      </c>
      <c r="CA108">
        <v>2.62</v>
      </c>
      <c r="CB108">
        <v>8</v>
      </c>
      <c r="CC108">
        <v>0</v>
      </c>
      <c r="CD108">
        <v>0</v>
      </c>
      <c r="CE108">
        <v>4</v>
      </c>
      <c r="CF108">
        <v>5</v>
      </c>
    </row>
    <row r="109" spans="1:84" x14ac:dyDescent="0.35">
      <c r="A109" t="s">
        <v>374</v>
      </c>
      <c r="B109" t="str">
        <f t="shared" si="7"/>
        <v xml:space="preserve"> ma_mo_2006_01_19_745</v>
      </c>
      <c r="C109" s="1">
        <f t="shared" si="8"/>
        <v>45761</v>
      </c>
      <c r="D109" t="s">
        <v>78</v>
      </c>
      <c r="E109">
        <v>199.93299999999999</v>
      </c>
      <c r="F109">
        <v>194.15100000000001</v>
      </c>
      <c r="G109">
        <v>15.554</v>
      </c>
      <c r="H109">
        <v>189.96899999999999</v>
      </c>
      <c r="I109">
        <v>0.39107142857142851</v>
      </c>
      <c r="J109">
        <v>261.38900000000001</v>
      </c>
      <c r="K109">
        <v>0</v>
      </c>
      <c r="L109">
        <v>1.982</v>
      </c>
      <c r="M109">
        <v>-19.48</v>
      </c>
      <c r="N109">
        <v>882.94899999999996</v>
      </c>
      <c r="O109">
        <v>901.93799999999999</v>
      </c>
      <c r="P109">
        <v>87.745000000000005</v>
      </c>
      <c r="Q109">
        <v>569.64499999999998</v>
      </c>
      <c r="R109">
        <v>1044.3489999999999</v>
      </c>
      <c r="S109">
        <v>1129.4000000000001</v>
      </c>
      <c r="T109">
        <v>1115.5540000000001</v>
      </c>
      <c r="U109">
        <v>59.354999999999997</v>
      </c>
      <c r="V109">
        <v>1044.3489999999999</v>
      </c>
      <c r="W109">
        <v>1329.171</v>
      </c>
      <c r="X109">
        <v>2586.1869999999999</v>
      </c>
      <c r="Y109">
        <v>2563.402</v>
      </c>
      <c r="Z109">
        <v>492.77800000000002</v>
      </c>
      <c r="AA109">
        <v>2231.1089999999999</v>
      </c>
      <c r="AB109">
        <v>4841.9809999999998</v>
      </c>
      <c r="AC109">
        <v>0.56000000000000005</v>
      </c>
      <c r="AD109">
        <v>197.15700000000001</v>
      </c>
      <c r="AE109">
        <v>200.911</v>
      </c>
      <c r="AF109">
        <v>22.908999999999999</v>
      </c>
      <c r="AG109">
        <v>114.08</v>
      </c>
      <c r="AH109">
        <v>0.87333333333333341</v>
      </c>
      <c r="AI109">
        <v>219.24700000000001</v>
      </c>
      <c r="AJ109">
        <v>0.83833333333333337</v>
      </c>
      <c r="AK109">
        <v>6.55</v>
      </c>
      <c r="AL109">
        <v>-29.175000000000001</v>
      </c>
      <c r="AM109">
        <v>346.46499999999997</v>
      </c>
      <c r="AN109">
        <v>346.46499999999997</v>
      </c>
      <c r="AO109">
        <v>0</v>
      </c>
      <c r="AP109">
        <v>346.46499999999997</v>
      </c>
      <c r="AQ109">
        <v>346.46499999999997</v>
      </c>
      <c r="AR109">
        <v>2462.3739999999998</v>
      </c>
      <c r="AS109">
        <v>2474.7469999999998</v>
      </c>
      <c r="AT109">
        <v>102.036</v>
      </c>
      <c r="AU109">
        <v>2326.2629999999999</v>
      </c>
      <c r="AV109">
        <v>2573.7370000000001</v>
      </c>
      <c r="AW109">
        <v>3195.96</v>
      </c>
      <c r="AX109">
        <v>3167.6770000000001</v>
      </c>
      <c r="AY109">
        <v>184.91300000000001</v>
      </c>
      <c r="AZ109">
        <v>2722.2220000000002</v>
      </c>
      <c r="BA109">
        <v>3662.6260000000002</v>
      </c>
      <c r="BB109">
        <v>0.6</v>
      </c>
      <c r="BC109">
        <v>222.99199999999999</v>
      </c>
      <c r="BD109">
        <v>217.70099999999999</v>
      </c>
      <c r="BE109">
        <v>17.88</v>
      </c>
      <c r="BF109">
        <v>208.863</v>
      </c>
      <c r="BG109">
        <v>0.53548387096774197</v>
      </c>
      <c r="BH109">
        <v>282.69200000000001</v>
      </c>
      <c r="BI109">
        <v>0.94354838709677413</v>
      </c>
      <c r="BJ109">
        <v>1.4750000000000001</v>
      </c>
      <c r="BK109">
        <v>-30.204999999999998</v>
      </c>
      <c r="BL109">
        <v>342.63799999999998</v>
      </c>
      <c r="BM109">
        <v>318.029</v>
      </c>
      <c r="BN109">
        <v>26.92</v>
      </c>
      <c r="BO109">
        <v>318.029</v>
      </c>
      <c r="BP109">
        <v>371.03399999999999</v>
      </c>
      <c r="BQ109">
        <v>1081.298</v>
      </c>
      <c r="BR109">
        <v>1113.1010000000001</v>
      </c>
      <c r="BS109">
        <v>133.041</v>
      </c>
      <c r="BT109">
        <v>954.08699999999999</v>
      </c>
      <c r="BU109">
        <v>1272.115</v>
      </c>
      <c r="BV109">
        <v>3250.3919999999998</v>
      </c>
      <c r="BW109">
        <v>3286.2979999999998</v>
      </c>
      <c r="BX109">
        <v>153.858</v>
      </c>
      <c r="BY109">
        <v>2968.2689999999998</v>
      </c>
      <c r="BZ109">
        <v>3551.3220000000001</v>
      </c>
      <c r="CA109">
        <v>0.62</v>
      </c>
      <c r="CB109">
        <v>5</v>
      </c>
      <c r="CC109">
        <v>5</v>
      </c>
      <c r="CD109">
        <v>0</v>
      </c>
      <c r="CE109">
        <v>6</v>
      </c>
      <c r="CF109">
        <v>5</v>
      </c>
    </row>
    <row r="110" spans="1:84" x14ac:dyDescent="0.35">
      <c r="A110" t="s">
        <v>375</v>
      </c>
      <c r="B110" t="str">
        <f t="shared" si="7"/>
        <v xml:space="preserve"> ma_pe_2005_09_29_691</v>
      </c>
      <c r="C110" s="1">
        <f t="shared" si="8"/>
        <v>45761</v>
      </c>
      <c r="D110" t="s">
        <v>78</v>
      </c>
      <c r="E110">
        <v>222.179</v>
      </c>
      <c r="F110">
        <v>222.24600000000001</v>
      </c>
      <c r="G110">
        <v>1.806</v>
      </c>
      <c r="H110">
        <v>217.39400000000001</v>
      </c>
      <c r="I110">
        <v>2.2485207100591716E-2</v>
      </c>
      <c r="J110">
        <v>233.333</v>
      </c>
      <c r="K110">
        <v>0.99822485207100597</v>
      </c>
      <c r="L110">
        <v>0.42799999999999999</v>
      </c>
      <c r="M110">
        <v>-23.122</v>
      </c>
      <c r="N110">
        <v>653.70000000000005</v>
      </c>
      <c r="O110">
        <v>647.73599999999999</v>
      </c>
      <c r="P110">
        <v>51.804000000000002</v>
      </c>
      <c r="Q110">
        <v>323.86799999999999</v>
      </c>
      <c r="R110">
        <v>863.64700000000005</v>
      </c>
      <c r="S110">
        <v>1177.9190000000001</v>
      </c>
      <c r="T110">
        <v>1187.5150000000001</v>
      </c>
      <c r="U110">
        <v>57.95</v>
      </c>
      <c r="V110">
        <v>1079.559</v>
      </c>
      <c r="W110">
        <v>1457.405</v>
      </c>
      <c r="X110">
        <v>2819.0810000000001</v>
      </c>
      <c r="Y110">
        <v>2806.8539999999998</v>
      </c>
      <c r="Z110">
        <v>67.046999999999997</v>
      </c>
      <c r="AA110">
        <v>2644.92</v>
      </c>
      <c r="AB110">
        <v>3022.7660000000001</v>
      </c>
      <c r="AC110">
        <v>3.38</v>
      </c>
      <c r="AD110">
        <v>220.33699999999999</v>
      </c>
      <c r="AE110">
        <v>220.34299999999999</v>
      </c>
      <c r="AF110">
        <v>1.5269999999999999</v>
      </c>
      <c r="AG110">
        <v>209.715</v>
      </c>
      <c r="AH110">
        <v>0.999074074074074</v>
      </c>
      <c r="AI110">
        <v>224.83600000000001</v>
      </c>
      <c r="AJ110">
        <v>0.95277777777777772</v>
      </c>
      <c r="AK110">
        <v>0.28100000000000003</v>
      </c>
      <c r="AL110">
        <v>-26.213000000000001</v>
      </c>
      <c r="AM110">
        <v>411.786</v>
      </c>
      <c r="AN110">
        <v>427.63600000000002</v>
      </c>
      <c r="AO110">
        <v>24.484999999999999</v>
      </c>
      <c r="AP110">
        <v>374.18200000000002</v>
      </c>
      <c r="AQ110">
        <v>427.63600000000002</v>
      </c>
      <c r="AR110">
        <v>2344.8519999999999</v>
      </c>
      <c r="AS110">
        <v>2352</v>
      </c>
      <c r="AT110">
        <v>67.902000000000001</v>
      </c>
      <c r="AU110">
        <v>1603.636</v>
      </c>
      <c r="AV110">
        <v>2458.9090000000001</v>
      </c>
      <c r="AW110">
        <v>2893.3829999999998</v>
      </c>
      <c r="AX110">
        <v>2886.5450000000001</v>
      </c>
      <c r="AY110">
        <v>123.798</v>
      </c>
      <c r="AZ110">
        <v>2565.8180000000002</v>
      </c>
      <c r="BA110">
        <v>3260.7269999999999</v>
      </c>
      <c r="BB110">
        <v>3.24</v>
      </c>
      <c r="BC110">
        <v>216.22900000000001</v>
      </c>
      <c r="BD110">
        <v>216.02500000000001</v>
      </c>
      <c r="BE110">
        <v>5.84</v>
      </c>
      <c r="BF110">
        <v>209.857</v>
      </c>
      <c r="BG110">
        <v>0.98154362416107377</v>
      </c>
      <c r="BH110">
        <v>272.22199999999998</v>
      </c>
      <c r="BI110">
        <v>0</v>
      </c>
      <c r="BJ110">
        <v>0.45600000000000002</v>
      </c>
      <c r="BK110">
        <v>-31.693000000000001</v>
      </c>
      <c r="BL110">
        <v>378.42099999999999</v>
      </c>
      <c r="BM110">
        <v>366.19200000000001</v>
      </c>
      <c r="BN110">
        <v>23.768000000000001</v>
      </c>
      <c r="BO110">
        <v>313.87900000000002</v>
      </c>
      <c r="BP110">
        <v>418.505</v>
      </c>
      <c r="BQ110">
        <v>986.08600000000001</v>
      </c>
      <c r="BR110">
        <v>941.63699999999994</v>
      </c>
      <c r="BS110">
        <v>59.335000000000001</v>
      </c>
      <c r="BT110">
        <v>941.63699999999994</v>
      </c>
      <c r="BU110">
        <v>1412.4559999999999</v>
      </c>
      <c r="BV110">
        <v>3054.8850000000002</v>
      </c>
      <c r="BW110">
        <v>2981.8510000000001</v>
      </c>
      <c r="BX110">
        <v>323.887</v>
      </c>
      <c r="BY110">
        <v>2563.3449999999998</v>
      </c>
      <c r="BZ110">
        <v>3871.174</v>
      </c>
      <c r="CA110">
        <v>2.98</v>
      </c>
      <c r="CB110">
        <v>3</v>
      </c>
      <c r="CC110">
        <v>5</v>
      </c>
      <c r="CD110">
        <v>3</v>
      </c>
      <c r="CE110">
        <v>6</v>
      </c>
      <c r="CF110">
        <v>0</v>
      </c>
    </row>
    <row r="111" spans="1:84" x14ac:dyDescent="0.35">
      <c r="A111" t="s">
        <v>376</v>
      </c>
      <c r="B111" t="str">
        <f t="shared" si="7"/>
        <v xml:space="preserve"> ma_pi_2004_12_22_169</v>
      </c>
      <c r="C111" s="1">
        <f t="shared" si="8"/>
        <v>45761</v>
      </c>
      <c r="D111" t="s">
        <v>78</v>
      </c>
      <c r="E111">
        <v>166.012</v>
      </c>
      <c r="F111">
        <v>165.345</v>
      </c>
      <c r="G111">
        <v>4.5149999999999997</v>
      </c>
      <c r="H111">
        <v>163.07400000000001</v>
      </c>
      <c r="I111">
        <v>0.8571005917159763</v>
      </c>
      <c r="J111">
        <v>214.078</v>
      </c>
      <c r="K111">
        <v>0</v>
      </c>
      <c r="L111">
        <v>0.48599999999999999</v>
      </c>
      <c r="M111">
        <v>-24.527999999999999</v>
      </c>
      <c r="N111">
        <v>691.78300000000002</v>
      </c>
      <c r="O111">
        <v>674.19100000000003</v>
      </c>
      <c r="P111">
        <v>42.951000000000001</v>
      </c>
      <c r="Q111">
        <v>475.899</v>
      </c>
      <c r="R111">
        <v>793.16499999999996</v>
      </c>
      <c r="S111">
        <v>1171.1210000000001</v>
      </c>
      <c r="T111">
        <v>1189.748</v>
      </c>
      <c r="U111">
        <v>26.132000000000001</v>
      </c>
      <c r="V111">
        <v>1110.432</v>
      </c>
      <c r="W111">
        <v>1229.4059999999999</v>
      </c>
      <c r="X111">
        <v>3368.27</v>
      </c>
      <c r="Y111">
        <v>3410.6120000000001</v>
      </c>
      <c r="Z111">
        <v>244.13800000000001</v>
      </c>
      <c r="AA111">
        <v>2776.0790000000002</v>
      </c>
      <c r="AB111">
        <v>3846.8530000000001</v>
      </c>
      <c r="AC111">
        <v>3.38</v>
      </c>
      <c r="AD111">
        <v>172.803</v>
      </c>
      <c r="AE111">
        <v>172.892</v>
      </c>
      <c r="AF111">
        <v>1.88</v>
      </c>
      <c r="AG111">
        <v>163.41999999999999</v>
      </c>
      <c r="AH111">
        <v>0.98511904761904767</v>
      </c>
      <c r="AI111">
        <v>182.23099999999999</v>
      </c>
      <c r="AJ111">
        <v>0</v>
      </c>
      <c r="AK111">
        <v>0.51600000000000001</v>
      </c>
      <c r="AL111">
        <v>-24.798999999999999</v>
      </c>
      <c r="AM111">
        <v>330.95699999999999</v>
      </c>
      <c r="AN111">
        <v>330.95699999999999</v>
      </c>
      <c r="AO111">
        <v>0</v>
      </c>
      <c r="AP111">
        <v>330.95699999999999</v>
      </c>
      <c r="AQ111">
        <v>330.95699999999999</v>
      </c>
      <c r="AR111">
        <v>2453.3980000000001</v>
      </c>
      <c r="AS111">
        <v>2482.1759999999999</v>
      </c>
      <c r="AT111">
        <v>74.576999999999998</v>
      </c>
      <c r="AU111">
        <v>1696.154</v>
      </c>
      <c r="AV111">
        <v>2523.5459999999998</v>
      </c>
      <c r="AW111">
        <v>3562.2829999999999</v>
      </c>
      <c r="AX111">
        <v>3557.7860000000001</v>
      </c>
      <c r="AY111">
        <v>115.47199999999999</v>
      </c>
      <c r="AZ111">
        <v>3392.308</v>
      </c>
      <c r="BA111">
        <v>3971.482</v>
      </c>
      <c r="BB111">
        <v>3.36</v>
      </c>
      <c r="BC111">
        <v>171.83500000000001</v>
      </c>
      <c r="BD111">
        <v>169.10499999999999</v>
      </c>
      <c r="BE111">
        <v>18.829000000000001</v>
      </c>
      <c r="BF111">
        <v>165.25700000000001</v>
      </c>
      <c r="BG111">
        <v>0.93086419753086413</v>
      </c>
      <c r="BH111">
        <v>322.23399999999998</v>
      </c>
      <c r="BI111">
        <v>1.3888888888888888E-2</v>
      </c>
      <c r="BJ111">
        <v>0.73</v>
      </c>
      <c r="BK111">
        <v>-28.521999999999998</v>
      </c>
      <c r="BL111">
        <v>372.31700000000001</v>
      </c>
      <c r="BM111">
        <v>369.209</v>
      </c>
      <c r="BN111">
        <v>16.518999999999998</v>
      </c>
      <c r="BO111">
        <v>369.209</v>
      </c>
      <c r="BP111">
        <v>533.30200000000002</v>
      </c>
      <c r="BQ111">
        <v>1087.9369999999999</v>
      </c>
      <c r="BR111">
        <v>1107.6279999999999</v>
      </c>
      <c r="BS111">
        <v>37.673000000000002</v>
      </c>
      <c r="BT111">
        <v>1025.5809999999999</v>
      </c>
      <c r="BU111">
        <v>1148.6510000000001</v>
      </c>
      <c r="BV111">
        <v>3886.3319999999999</v>
      </c>
      <c r="BW111">
        <v>3897.2089999999998</v>
      </c>
      <c r="BX111">
        <v>154.23500000000001</v>
      </c>
      <c r="BY111">
        <v>2789.5810000000001</v>
      </c>
      <c r="BZ111">
        <v>4225.3950000000004</v>
      </c>
      <c r="CA111">
        <v>3.24</v>
      </c>
      <c r="CB111">
        <v>8</v>
      </c>
      <c r="CC111">
        <v>6</v>
      </c>
      <c r="CD111">
        <v>0</v>
      </c>
      <c r="CE111">
        <v>6</v>
      </c>
      <c r="CF111">
        <v>2</v>
      </c>
    </row>
    <row r="112" spans="1:84" x14ac:dyDescent="0.35">
      <c r="A112" t="s">
        <v>377</v>
      </c>
      <c r="B112" t="str">
        <f t="shared" si="7"/>
        <v xml:space="preserve"> ma_ro_2004_01_18_699</v>
      </c>
      <c r="C112" s="1">
        <f t="shared" si="8"/>
        <v>45761</v>
      </c>
      <c r="D112" t="s">
        <v>78</v>
      </c>
      <c r="E112">
        <v>186.934</v>
      </c>
      <c r="F112">
        <v>186.18799999999999</v>
      </c>
      <c r="G112">
        <v>3.948</v>
      </c>
      <c r="H112">
        <v>176.4</v>
      </c>
      <c r="I112">
        <v>0.99968553459119491</v>
      </c>
      <c r="J112">
        <v>210.57300000000001</v>
      </c>
      <c r="K112">
        <v>6.2893081761006284E-3</v>
      </c>
      <c r="L112">
        <v>0.32900000000000001</v>
      </c>
      <c r="M112">
        <v>-20.77</v>
      </c>
      <c r="N112">
        <v>732.24599999999998</v>
      </c>
      <c r="O112">
        <v>719.26599999999996</v>
      </c>
      <c r="P112">
        <v>50.673999999999999</v>
      </c>
      <c r="Q112">
        <v>584.404</v>
      </c>
      <c r="R112">
        <v>899.08299999999997</v>
      </c>
      <c r="S112">
        <v>1025.173</v>
      </c>
      <c r="T112">
        <v>988.99099999999999</v>
      </c>
      <c r="U112">
        <v>57.058</v>
      </c>
      <c r="V112">
        <v>944.03700000000003</v>
      </c>
      <c r="W112">
        <v>1258.7159999999999</v>
      </c>
      <c r="X112">
        <v>3955.33</v>
      </c>
      <c r="Y112">
        <v>3955.9630000000002</v>
      </c>
      <c r="Z112">
        <v>153.31299999999999</v>
      </c>
      <c r="AA112">
        <v>3506.422</v>
      </c>
      <c r="AB112">
        <v>4450.4589999999998</v>
      </c>
      <c r="AC112">
        <v>3.18</v>
      </c>
      <c r="AD112">
        <v>216.44200000000001</v>
      </c>
      <c r="AE112">
        <v>215.27199999999999</v>
      </c>
      <c r="AF112">
        <v>5.415</v>
      </c>
      <c r="AG112">
        <v>212.89699999999999</v>
      </c>
      <c r="AH112">
        <v>0.14424778761061949</v>
      </c>
      <c r="AI112">
        <v>258.75900000000001</v>
      </c>
      <c r="AJ112">
        <v>0</v>
      </c>
      <c r="AK112">
        <v>0.379</v>
      </c>
      <c r="AL112">
        <v>-30.28</v>
      </c>
      <c r="AM112">
        <v>380.971</v>
      </c>
      <c r="AN112">
        <v>368.37700000000001</v>
      </c>
      <c r="AO112">
        <v>32.152000000000001</v>
      </c>
      <c r="AP112">
        <v>315.75200000000001</v>
      </c>
      <c r="AQ112">
        <v>631.50400000000002</v>
      </c>
      <c r="AR112">
        <v>1491.05</v>
      </c>
      <c r="AS112">
        <v>1473.508</v>
      </c>
      <c r="AT112">
        <v>80.385999999999996</v>
      </c>
      <c r="AU112">
        <v>1420.883</v>
      </c>
      <c r="AV112">
        <v>1578.759</v>
      </c>
      <c r="AW112">
        <v>4199.2290000000003</v>
      </c>
      <c r="AX112">
        <v>4210.0240000000003</v>
      </c>
      <c r="AY112">
        <v>253.75399999999999</v>
      </c>
      <c r="AZ112">
        <v>3525.895</v>
      </c>
      <c r="BA112">
        <v>4788.902</v>
      </c>
      <c r="BB112">
        <v>2.2599999999999998</v>
      </c>
      <c r="BC112">
        <v>216.785</v>
      </c>
      <c r="BD112">
        <v>216.328</v>
      </c>
      <c r="BE112">
        <v>3.077</v>
      </c>
      <c r="BF112">
        <v>213.929</v>
      </c>
      <c r="BG112">
        <v>0.10909090909090907</v>
      </c>
      <c r="BH112">
        <v>246.96</v>
      </c>
      <c r="BI112">
        <v>0</v>
      </c>
      <c r="BJ112">
        <v>0.26600000000000001</v>
      </c>
      <c r="BK112">
        <v>-31.925000000000001</v>
      </c>
      <c r="BL112">
        <v>421.41399999999999</v>
      </c>
      <c r="BM112">
        <v>419.50099999999998</v>
      </c>
      <c r="BN112">
        <v>22.4</v>
      </c>
      <c r="BO112">
        <v>419.50099999999998</v>
      </c>
      <c r="BP112">
        <v>681.68799999999999</v>
      </c>
      <c r="BQ112">
        <v>904.36900000000003</v>
      </c>
      <c r="BR112">
        <v>891.43899999999996</v>
      </c>
      <c r="BS112">
        <v>25.898</v>
      </c>
      <c r="BT112">
        <v>891.43899999999996</v>
      </c>
      <c r="BU112">
        <v>996.31399999999996</v>
      </c>
      <c r="BV112">
        <v>4173.9539999999997</v>
      </c>
      <c r="BW112">
        <v>4195.0060000000003</v>
      </c>
      <c r="BX112">
        <v>246.40199999999999</v>
      </c>
      <c r="BY112">
        <v>3146.2539999999999</v>
      </c>
      <c r="BZ112">
        <v>4509.6310000000003</v>
      </c>
      <c r="CA112">
        <v>2.64</v>
      </c>
      <c r="CB112">
        <v>7</v>
      </c>
      <c r="CC112">
        <v>2</v>
      </c>
      <c r="CD112">
        <v>0</v>
      </c>
      <c r="CE112">
        <v>3</v>
      </c>
      <c r="CF112">
        <v>0</v>
      </c>
    </row>
    <row r="113" spans="1:84" x14ac:dyDescent="0.35">
      <c r="A113" t="s">
        <v>378</v>
      </c>
      <c r="B113" t="str">
        <f t="shared" si="7"/>
        <v xml:space="preserve"> ma_ro_2005_05_30_806</v>
      </c>
      <c r="C113" s="1">
        <f t="shared" si="8"/>
        <v>45761</v>
      </c>
      <c r="D113" t="s">
        <v>78</v>
      </c>
      <c r="E113">
        <v>173.29300000000001</v>
      </c>
      <c r="F113">
        <v>172.65100000000001</v>
      </c>
      <c r="G113">
        <v>3.6640000000000001</v>
      </c>
      <c r="H113">
        <v>167.863</v>
      </c>
      <c r="I113">
        <v>0.74039735099337756</v>
      </c>
      <c r="J113">
        <v>190.43799999999999</v>
      </c>
      <c r="K113">
        <v>6.6225165562913907E-3</v>
      </c>
      <c r="L113">
        <v>0.56699999999999995</v>
      </c>
      <c r="M113">
        <v>-22.356999999999999</v>
      </c>
      <c r="N113">
        <v>541.46799999999996</v>
      </c>
      <c r="O113">
        <v>538.30999999999995</v>
      </c>
      <c r="P113">
        <v>58.097000000000001</v>
      </c>
      <c r="Q113">
        <v>455.49299999999999</v>
      </c>
      <c r="R113">
        <v>910.98599999999999</v>
      </c>
      <c r="S113">
        <v>1411.5609999999999</v>
      </c>
      <c r="T113">
        <v>1407.8869999999999</v>
      </c>
      <c r="U113">
        <v>65.100999999999999</v>
      </c>
      <c r="V113">
        <v>1159.4369999999999</v>
      </c>
      <c r="W113">
        <v>1532.1130000000001</v>
      </c>
      <c r="X113">
        <v>3182.44</v>
      </c>
      <c r="Y113">
        <v>3188.451</v>
      </c>
      <c r="Z113">
        <v>196.48400000000001</v>
      </c>
      <c r="AA113">
        <v>2525.915</v>
      </c>
      <c r="AB113">
        <v>3561.127</v>
      </c>
      <c r="AC113">
        <v>3.02</v>
      </c>
      <c r="AD113">
        <v>172.93</v>
      </c>
      <c r="AE113">
        <v>171.595</v>
      </c>
      <c r="AF113">
        <v>7.4279999999999999</v>
      </c>
      <c r="AG113">
        <v>158.065</v>
      </c>
      <c r="AH113">
        <v>0.75463576158940393</v>
      </c>
      <c r="AI113">
        <v>225.82300000000001</v>
      </c>
      <c r="AJ113">
        <v>6.6225165562913907E-3</v>
      </c>
      <c r="AK113">
        <v>1.661</v>
      </c>
      <c r="AL113">
        <v>-13.528</v>
      </c>
      <c r="AM113">
        <v>375.25599999999997</v>
      </c>
      <c r="AN113">
        <v>369.553</v>
      </c>
      <c r="AO113">
        <v>26.251000000000001</v>
      </c>
      <c r="AP113">
        <v>328.49200000000002</v>
      </c>
      <c r="AQ113">
        <v>410.61500000000001</v>
      </c>
      <c r="AR113">
        <v>1455.4</v>
      </c>
      <c r="AS113">
        <v>1478.212</v>
      </c>
      <c r="AT113">
        <v>98.698999999999998</v>
      </c>
      <c r="AU113">
        <v>1231.8440000000001</v>
      </c>
      <c r="AV113">
        <v>1560.335</v>
      </c>
      <c r="AW113">
        <v>3876.134</v>
      </c>
      <c r="AX113">
        <v>3900.8380000000002</v>
      </c>
      <c r="AY113">
        <v>177.489</v>
      </c>
      <c r="AZ113">
        <v>2874.3020000000001</v>
      </c>
      <c r="BA113">
        <v>4147.2070000000003</v>
      </c>
      <c r="BB113">
        <v>3.02</v>
      </c>
      <c r="BC113">
        <v>170.488</v>
      </c>
      <c r="BD113">
        <v>169.80199999999999</v>
      </c>
      <c r="BE113">
        <v>6.4710000000000001</v>
      </c>
      <c r="BF113">
        <v>161.45400000000001</v>
      </c>
      <c r="BG113">
        <v>8.2592592592592592E-2</v>
      </c>
      <c r="BH113">
        <v>222.727</v>
      </c>
      <c r="BI113">
        <v>0</v>
      </c>
      <c r="BJ113">
        <v>0.85</v>
      </c>
      <c r="BK113">
        <v>-19.117000000000001</v>
      </c>
      <c r="BL113">
        <v>426.48099999999999</v>
      </c>
      <c r="BM113">
        <v>408.33300000000003</v>
      </c>
      <c r="BN113">
        <v>49.723999999999997</v>
      </c>
      <c r="BO113">
        <v>326.66699999999997</v>
      </c>
      <c r="BP113">
        <v>816.66700000000003</v>
      </c>
      <c r="BQ113">
        <v>1084.3520000000001</v>
      </c>
      <c r="BR113">
        <v>1061.6669999999999</v>
      </c>
      <c r="BS113">
        <v>84.293000000000006</v>
      </c>
      <c r="BT113">
        <v>980</v>
      </c>
      <c r="BU113">
        <v>1265.8330000000001</v>
      </c>
      <c r="BV113">
        <v>3131.43</v>
      </c>
      <c r="BW113">
        <v>3103.3330000000001</v>
      </c>
      <c r="BX113">
        <v>187.67400000000001</v>
      </c>
      <c r="BY113">
        <v>2776.6669999999999</v>
      </c>
      <c r="BZ113">
        <v>3797.5</v>
      </c>
      <c r="CA113">
        <v>2.7</v>
      </c>
    </row>
    <row r="114" spans="1:84" x14ac:dyDescent="0.35">
      <c r="A114" t="s">
        <v>379</v>
      </c>
      <c r="B114" t="str">
        <f t="shared" si="7"/>
        <v xml:space="preserve"> ma_ro_2005_07_29_713</v>
      </c>
      <c r="C114" s="1">
        <f t="shared" si="8"/>
        <v>45761</v>
      </c>
      <c r="D114" t="s">
        <v>78</v>
      </c>
      <c r="E114">
        <v>169.18700000000001</v>
      </c>
      <c r="F114">
        <v>166.05699999999999</v>
      </c>
      <c r="G114">
        <v>8.9489999999999998</v>
      </c>
      <c r="H114">
        <v>146.02600000000001</v>
      </c>
      <c r="I114">
        <v>0.99878787878787878</v>
      </c>
      <c r="J114">
        <v>198.012</v>
      </c>
      <c r="K114">
        <v>2.8484848484848488E-2</v>
      </c>
      <c r="L114">
        <v>0.66300000000000003</v>
      </c>
      <c r="M114">
        <v>-22.129000000000001</v>
      </c>
      <c r="N114">
        <v>976.75599999999997</v>
      </c>
      <c r="O114">
        <v>974.58600000000001</v>
      </c>
      <c r="P114">
        <v>73.734999999999999</v>
      </c>
      <c r="Q114">
        <v>527.90099999999995</v>
      </c>
      <c r="R114">
        <v>1096.4090000000001</v>
      </c>
      <c r="S114">
        <v>1307.0809999999999</v>
      </c>
      <c r="T114">
        <v>1299.4480000000001</v>
      </c>
      <c r="U114">
        <v>39.087000000000003</v>
      </c>
      <c r="V114">
        <v>1258.8399999999999</v>
      </c>
      <c r="W114">
        <v>1380.663</v>
      </c>
      <c r="X114">
        <v>2260.5990000000002</v>
      </c>
      <c r="Y114">
        <v>2274.0329999999999</v>
      </c>
      <c r="Z114">
        <v>107.173</v>
      </c>
      <c r="AA114">
        <v>2030.3869999999999</v>
      </c>
      <c r="AB114">
        <v>2436.4639999999999</v>
      </c>
      <c r="AC114">
        <v>3.3</v>
      </c>
      <c r="AD114">
        <v>171.565</v>
      </c>
      <c r="AE114">
        <v>169.61500000000001</v>
      </c>
      <c r="AF114">
        <v>13.023</v>
      </c>
      <c r="AG114">
        <v>142.32400000000001</v>
      </c>
      <c r="AH114">
        <v>0.98962962962962964</v>
      </c>
      <c r="AI114">
        <v>210</v>
      </c>
      <c r="AJ114">
        <v>9.2592592592592587E-3</v>
      </c>
      <c r="AK114">
        <v>1.337</v>
      </c>
      <c r="AL114">
        <v>-26.39</v>
      </c>
      <c r="AM114">
        <v>319.72300000000001</v>
      </c>
      <c r="AN114">
        <v>329.41199999999998</v>
      </c>
      <c r="AO114">
        <v>17.728999999999999</v>
      </c>
      <c r="AP114">
        <v>288.23500000000001</v>
      </c>
      <c r="AQ114">
        <v>329.41199999999998</v>
      </c>
      <c r="AR114">
        <v>1658.4179999999999</v>
      </c>
      <c r="AS114">
        <v>1626.471</v>
      </c>
      <c r="AT114">
        <v>279.14400000000001</v>
      </c>
      <c r="AU114">
        <v>1276.471</v>
      </c>
      <c r="AV114">
        <v>2305.8820000000001</v>
      </c>
      <c r="AW114">
        <v>3691.2829999999999</v>
      </c>
      <c r="AX114">
        <v>3705.8820000000001</v>
      </c>
      <c r="AY114">
        <v>266.18799999999999</v>
      </c>
      <c r="AZ114">
        <v>2800</v>
      </c>
      <c r="BA114">
        <v>4158.8239999999996</v>
      </c>
      <c r="BB114">
        <v>2.7</v>
      </c>
      <c r="BC114">
        <v>183.76400000000001</v>
      </c>
      <c r="BD114">
        <v>179.21600000000001</v>
      </c>
      <c r="BE114">
        <v>14.489000000000001</v>
      </c>
      <c r="BF114">
        <v>158.715</v>
      </c>
      <c r="BG114">
        <v>0.98991596638655466</v>
      </c>
      <c r="BH114">
        <v>224.672</v>
      </c>
      <c r="BI114">
        <v>4.7058823529411771E-2</v>
      </c>
      <c r="BJ114">
        <v>0.98899999999999999</v>
      </c>
      <c r="BK114">
        <v>-30.263000000000002</v>
      </c>
      <c r="BL114">
        <v>370.18599999999998</v>
      </c>
      <c r="BM114">
        <v>352.8</v>
      </c>
      <c r="BN114">
        <v>21.655000000000001</v>
      </c>
      <c r="BO114">
        <v>352.8</v>
      </c>
      <c r="BP114">
        <v>396.9</v>
      </c>
      <c r="BQ114">
        <v>1009.212</v>
      </c>
      <c r="BR114">
        <v>1014.3</v>
      </c>
      <c r="BS114">
        <v>45.087000000000003</v>
      </c>
      <c r="BT114">
        <v>926.1</v>
      </c>
      <c r="BU114">
        <v>1190.7</v>
      </c>
      <c r="BV114">
        <v>3311.74</v>
      </c>
      <c r="BW114">
        <v>3351.6</v>
      </c>
      <c r="BX114">
        <v>252.59</v>
      </c>
      <c r="BY114">
        <v>2425.5</v>
      </c>
      <c r="BZ114">
        <v>4057.2</v>
      </c>
      <c r="CA114">
        <v>2.38</v>
      </c>
    </row>
    <row r="115" spans="1:84" x14ac:dyDescent="0.35">
      <c r="A115" t="s">
        <v>380</v>
      </c>
      <c r="B115" t="str">
        <f t="shared" si="7"/>
        <v xml:space="preserve"> ma_sa_2005_01_31_124</v>
      </c>
      <c r="C115" s="1">
        <f t="shared" si="8"/>
        <v>45761</v>
      </c>
      <c r="D115" t="s">
        <v>78</v>
      </c>
      <c r="E115">
        <v>200.524</v>
      </c>
      <c r="F115">
        <v>200.91200000000001</v>
      </c>
      <c r="G115">
        <v>2.6989999999999998</v>
      </c>
      <c r="H115">
        <v>192.93799999999999</v>
      </c>
      <c r="I115">
        <v>0.12038461538461538</v>
      </c>
      <c r="J115">
        <v>206.76499999999999</v>
      </c>
      <c r="K115">
        <v>0.16076923076923075</v>
      </c>
      <c r="L115">
        <v>0.70799999999999996</v>
      </c>
      <c r="M115">
        <v>-24.06</v>
      </c>
      <c r="N115">
        <v>705.07100000000003</v>
      </c>
      <c r="O115">
        <v>722.95100000000002</v>
      </c>
      <c r="P115">
        <v>58.456000000000003</v>
      </c>
      <c r="Q115">
        <v>481.96699999999998</v>
      </c>
      <c r="R115">
        <v>819.34400000000005</v>
      </c>
      <c r="S115">
        <v>1167.749</v>
      </c>
      <c r="T115">
        <v>1156.721</v>
      </c>
      <c r="U115">
        <v>41.518000000000001</v>
      </c>
      <c r="V115">
        <v>1108.5250000000001</v>
      </c>
      <c r="W115">
        <v>1301.3109999999999</v>
      </c>
      <c r="X115">
        <v>2704.069</v>
      </c>
      <c r="Y115">
        <v>2699.0160000000001</v>
      </c>
      <c r="Z115">
        <v>122.42700000000001</v>
      </c>
      <c r="AA115">
        <v>2458.0329999999999</v>
      </c>
      <c r="AB115">
        <v>3180.9839999999999</v>
      </c>
      <c r="AC115">
        <v>2.6</v>
      </c>
      <c r="AD115">
        <v>203.10400000000001</v>
      </c>
      <c r="AE115">
        <v>203.09200000000001</v>
      </c>
      <c r="AF115">
        <v>2.6259999999999999</v>
      </c>
      <c r="AG115">
        <v>197.505</v>
      </c>
      <c r="AH115">
        <v>0.29906542056074764</v>
      </c>
      <c r="AI115">
        <v>219.09200000000001</v>
      </c>
      <c r="AJ115">
        <v>9.8130841121495324E-3</v>
      </c>
      <c r="AK115">
        <v>0.67700000000000005</v>
      </c>
      <c r="AL115">
        <v>-28.344000000000001</v>
      </c>
      <c r="AM115">
        <v>343.59800000000001</v>
      </c>
      <c r="AN115">
        <v>342.23899999999998</v>
      </c>
      <c r="AO115">
        <v>18.297999999999998</v>
      </c>
      <c r="AP115">
        <v>293.34800000000001</v>
      </c>
      <c r="AQ115">
        <v>488.91399999999999</v>
      </c>
      <c r="AR115">
        <v>2496.683</v>
      </c>
      <c r="AS115">
        <v>2542.35</v>
      </c>
      <c r="AT115">
        <v>143.52600000000001</v>
      </c>
      <c r="AU115">
        <v>1466.741</v>
      </c>
      <c r="AV115">
        <v>2640.1329999999998</v>
      </c>
      <c r="AW115">
        <v>3501.665</v>
      </c>
      <c r="AX115">
        <v>3471.2860000000001</v>
      </c>
      <c r="AY115">
        <v>160.72</v>
      </c>
      <c r="AZ115">
        <v>3177.9380000000001</v>
      </c>
      <c r="BA115">
        <v>3862.4169999999999</v>
      </c>
      <c r="BB115">
        <v>2.14</v>
      </c>
      <c r="BC115">
        <v>205.315</v>
      </c>
      <c r="BD115">
        <v>205.595</v>
      </c>
      <c r="BE115">
        <v>2.78</v>
      </c>
      <c r="BF115">
        <v>197.001</v>
      </c>
      <c r="BG115">
        <v>1.7521367521367522E-2</v>
      </c>
      <c r="BH115">
        <v>223.858</v>
      </c>
      <c r="BI115">
        <v>1</v>
      </c>
      <c r="BJ115">
        <v>0.38300000000000001</v>
      </c>
      <c r="BK115">
        <v>-30.535</v>
      </c>
      <c r="BL115">
        <v>386.84199999999998</v>
      </c>
      <c r="BM115">
        <v>392.87299999999999</v>
      </c>
      <c r="BN115">
        <v>16.190000000000001</v>
      </c>
      <c r="BO115">
        <v>343.76400000000001</v>
      </c>
      <c r="BP115">
        <v>392.87299999999999</v>
      </c>
      <c r="BQ115">
        <v>1233.395</v>
      </c>
      <c r="BR115">
        <v>1252.2829999999999</v>
      </c>
      <c r="BS115">
        <v>69.215000000000003</v>
      </c>
      <c r="BT115">
        <v>1080.4010000000001</v>
      </c>
      <c r="BU115">
        <v>1325.9469999999999</v>
      </c>
      <c r="BV115">
        <v>2943.5320000000002</v>
      </c>
      <c r="BW115">
        <v>2946.5479999999998</v>
      </c>
      <c r="BX115">
        <v>99.575000000000003</v>
      </c>
      <c r="BY115">
        <v>2750.1109999999999</v>
      </c>
      <c r="BZ115">
        <v>3192.0940000000001</v>
      </c>
      <c r="CA115">
        <v>2.34</v>
      </c>
      <c r="CB115">
        <v>2</v>
      </c>
      <c r="CC115">
        <v>1</v>
      </c>
      <c r="CD115">
        <v>0</v>
      </c>
      <c r="CE115">
        <v>2</v>
      </c>
      <c r="CF115">
        <v>0</v>
      </c>
    </row>
    <row r="116" spans="1:84" x14ac:dyDescent="0.35">
      <c r="A116" t="s">
        <v>381</v>
      </c>
      <c r="B116" t="str">
        <f t="shared" si="7"/>
        <v xml:space="preserve"> ma_si_2003_10_31_940</v>
      </c>
      <c r="C116" s="1">
        <f t="shared" si="8"/>
        <v>45761</v>
      </c>
      <c r="D116" t="s">
        <v>78</v>
      </c>
      <c r="E116">
        <v>156.31200000000001</v>
      </c>
      <c r="F116">
        <v>155.87</v>
      </c>
      <c r="G116">
        <v>5.19</v>
      </c>
      <c r="H116">
        <v>146.23400000000001</v>
      </c>
      <c r="I116">
        <v>1.1538461538461539E-2</v>
      </c>
      <c r="J116">
        <v>196.249</v>
      </c>
      <c r="K116">
        <v>0</v>
      </c>
      <c r="L116">
        <v>0.85899999999999999</v>
      </c>
      <c r="M116">
        <v>-23.228000000000002</v>
      </c>
      <c r="N116">
        <v>783.52700000000004</v>
      </c>
      <c r="O116">
        <v>784.83100000000002</v>
      </c>
      <c r="P116">
        <v>46.731000000000002</v>
      </c>
      <c r="Q116">
        <v>560.59299999999996</v>
      </c>
      <c r="R116">
        <v>896.94899999999996</v>
      </c>
      <c r="S116">
        <v>1129.846</v>
      </c>
      <c r="T116">
        <v>1121.1859999999999</v>
      </c>
      <c r="U116">
        <v>60.262</v>
      </c>
      <c r="V116">
        <v>1046.441</v>
      </c>
      <c r="W116">
        <v>1494.915</v>
      </c>
      <c r="X116">
        <v>3118.4630000000002</v>
      </c>
      <c r="Y116">
        <v>3101.9490000000001</v>
      </c>
      <c r="Z116">
        <v>170.215</v>
      </c>
      <c r="AA116">
        <v>2503.9830000000002</v>
      </c>
      <c r="AB116">
        <v>3886.78</v>
      </c>
      <c r="AC116">
        <v>2.34</v>
      </c>
      <c r="AD116">
        <v>165.684</v>
      </c>
      <c r="AE116">
        <v>160.53</v>
      </c>
      <c r="AF116">
        <v>25.317</v>
      </c>
      <c r="AG116">
        <v>155.36000000000001</v>
      </c>
      <c r="AH116">
        <v>0.61523809523809525</v>
      </c>
      <c r="AI116">
        <v>312.76600000000002</v>
      </c>
      <c r="AJ116">
        <v>0</v>
      </c>
      <c r="AK116">
        <v>1.1299999999999999</v>
      </c>
      <c r="AL116">
        <v>-26.893000000000001</v>
      </c>
      <c r="AM116">
        <v>318.12299999999999</v>
      </c>
      <c r="AN116">
        <v>313.60000000000002</v>
      </c>
      <c r="AO116">
        <v>14.839</v>
      </c>
      <c r="AP116">
        <v>313.60000000000002</v>
      </c>
      <c r="AQ116">
        <v>392</v>
      </c>
      <c r="AR116">
        <v>2299.7330000000002</v>
      </c>
      <c r="AS116">
        <v>2391.1999999999998</v>
      </c>
      <c r="AT116">
        <v>193.369</v>
      </c>
      <c r="AU116">
        <v>2077.6</v>
      </c>
      <c r="AV116">
        <v>2430.4</v>
      </c>
      <c r="AW116">
        <v>3639.3090000000002</v>
      </c>
      <c r="AX116">
        <v>3645.6</v>
      </c>
      <c r="AY116">
        <v>168.316</v>
      </c>
      <c r="AZ116">
        <v>2979.2</v>
      </c>
      <c r="BA116">
        <v>3880.8</v>
      </c>
      <c r="BB116">
        <v>2.1</v>
      </c>
      <c r="BC116">
        <v>143.78899999999999</v>
      </c>
      <c r="BD116">
        <v>143.11500000000001</v>
      </c>
      <c r="BE116">
        <v>4.9169999999999998</v>
      </c>
      <c r="BF116">
        <v>118.367</v>
      </c>
      <c r="BG116">
        <v>0</v>
      </c>
      <c r="BH116">
        <v>152.14400000000001</v>
      </c>
      <c r="BI116">
        <v>1.7045454545454544E-2</v>
      </c>
      <c r="BJ116">
        <v>1.0449999999999999</v>
      </c>
      <c r="BK116">
        <v>-27.914999999999999</v>
      </c>
      <c r="BL116">
        <v>353.27</v>
      </c>
      <c r="BM116">
        <v>340.01499999999999</v>
      </c>
      <c r="BN116">
        <v>28.248999999999999</v>
      </c>
      <c r="BO116">
        <v>306.01400000000001</v>
      </c>
      <c r="BP116">
        <v>408.01900000000001</v>
      </c>
      <c r="BQ116">
        <v>1333.095</v>
      </c>
      <c r="BR116">
        <v>1326.06</v>
      </c>
      <c r="BS116">
        <v>118.964</v>
      </c>
      <c r="BT116">
        <v>1156.0519999999999</v>
      </c>
      <c r="BU116">
        <v>1700.077</v>
      </c>
      <c r="BV116">
        <v>3040.5450000000001</v>
      </c>
      <c r="BW116">
        <v>3026.1370000000002</v>
      </c>
      <c r="BX116">
        <v>115.943</v>
      </c>
      <c r="BY116">
        <v>2822.1280000000002</v>
      </c>
      <c r="BZ116">
        <v>3366.1529999999998</v>
      </c>
      <c r="CA116">
        <v>1.76</v>
      </c>
    </row>
    <row r="117" spans="1:84" x14ac:dyDescent="0.35">
      <c r="A117" t="s">
        <v>382</v>
      </c>
      <c r="B117" t="str">
        <f t="shared" si="7"/>
        <v xml:space="preserve"> ma_ta_2006_01_28_997</v>
      </c>
      <c r="C117" s="1">
        <f t="shared" si="8"/>
        <v>45761</v>
      </c>
      <c r="D117" t="s">
        <v>78</v>
      </c>
      <c r="E117">
        <v>157.65100000000001</v>
      </c>
      <c r="F117">
        <v>155.75200000000001</v>
      </c>
      <c r="G117">
        <v>6.01</v>
      </c>
      <c r="H117">
        <v>150.512</v>
      </c>
      <c r="I117">
        <v>9.7500000000000003E-2</v>
      </c>
      <c r="J117">
        <v>177.108</v>
      </c>
      <c r="K117">
        <v>0.97708333333333341</v>
      </c>
      <c r="L117">
        <v>0.86699999999999999</v>
      </c>
      <c r="M117">
        <v>-16.25</v>
      </c>
      <c r="N117">
        <v>576.149</v>
      </c>
      <c r="O117">
        <v>567.32399999999996</v>
      </c>
      <c r="P117">
        <v>32.594999999999999</v>
      </c>
      <c r="Q117">
        <v>491.68099999999998</v>
      </c>
      <c r="R117">
        <v>680.78899999999999</v>
      </c>
      <c r="S117">
        <v>1205.6289999999999</v>
      </c>
      <c r="T117">
        <v>1210.2919999999999</v>
      </c>
      <c r="U117">
        <v>48.805</v>
      </c>
      <c r="V117">
        <v>1059.0050000000001</v>
      </c>
      <c r="W117">
        <v>1285.9349999999999</v>
      </c>
      <c r="X117">
        <v>3459.4169999999999</v>
      </c>
      <c r="Y117">
        <v>3441.7669999999998</v>
      </c>
      <c r="Z117">
        <v>201.90799999999999</v>
      </c>
      <c r="AA117">
        <v>2987.9070000000002</v>
      </c>
      <c r="AB117">
        <v>4273.8419999999996</v>
      </c>
      <c r="AC117">
        <v>2.4</v>
      </c>
      <c r="AD117">
        <v>158.03200000000001</v>
      </c>
      <c r="AE117">
        <v>157.98400000000001</v>
      </c>
      <c r="AF117">
        <v>1.3939999999999999</v>
      </c>
      <c r="AG117">
        <v>154.73699999999999</v>
      </c>
      <c r="AH117">
        <v>0.87483870967741939</v>
      </c>
      <c r="AI117">
        <v>161.87700000000001</v>
      </c>
      <c r="AJ117">
        <v>0.79709677419354841</v>
      </c>
      <c r="AK117">
        <v>0.50700000000000001</v>
      </c>
      <c r="AL117">
        <v>-26.454000000000001</v>
      </c>
      <c r="AM117">
        <v>321.09899999999999</v>
      </c>
      <c r="AN117">
        <v>338.07499999999999</v>
      </c>
      <c r="AO117">
        <v>18.785</v>
      </c>
      <c r="AP117">
        <v>300.51100000000002</v>
      </c>
      <c r="AQ117">
        <v>338.07499999999999</v>
      </c>
      <c r="AR117">
        <v>2465.9589999999998</v>
      </c>
      <c r="AS117">
        <v>2479.2159999999999</v>
      </c>
      <c r="AT117">
        <v>71.447000000000003</v>
      </c>
      <c r="AU117">
        <v>2291.3969999999999</v>
      </c>
      <c r="AV117">
        <v>2591.9079999999999</v>
      </c>
      <c r="AW117">
        <v>3354.2919999999999</v>
      </c>
      <c r="AX117">
        <v>3305.6219999999998</v>
      </c>
      <c r="AY117">
        <v>151.40199999999999</v>
      </c>
      <c r="AZ117">
        <v>3155.366</v>
      </c>
      <c r="BA117">
        <v>4094.4630000000002</v>
      </c>
      <c r="BB117">
        <v>3.1</v>
      </c>
      <c r="BC117">
        <v>163.61099999999999</v>
      </c>
      <c r="BD117">
        <v>161.83500000000001</v>
      </c>
      <c r="BE117">
        <v>15.968999999999999</v>
      </c>
      <c r="BF117">
        <v>153.65899999999999</v>
      </c>
      <c r="BG117">
        <v>0.98799999999999999</v>
      </c>
      <c r="BH117">
        <v>331.57900000000001</v>
      </c>
      <c r="BI117">
        <v>0</v>
      </c>
      <c r="BJ117">
        <v>1.1240000000000001</v>
      </c>
      <c r="BK117">
        <v>-24.849</v>
      </c>
      <c r="BL117">
        <v>318.77800000000002</v>
      </c>
      <c r="BM117">
        <v>313.04300000000001</v>
      </c>
      <c r="BN117">
        <v>21.434999999999999</v>
      </c>
      <c r="BO117">
        <v>313.04300000000001</v>
      </c>
      <c r="BP117">
        <v>508.69600000000003</v>
      </c>
      <c r="BQ117">
        <v>997.07399999999996</v>
      </c>
      <c r="BR117">
        <v>978.26099999999997</v>
      </c>
      <c r="BS117">
        <v>82.186999999999998</v>
      </c>
      <c r="BT117">
        <v>978.26099999999997</v>
      </c>
      <c r="BU117">
        <v>1565.2170000000001</v>
      </c>
      <c r="BV117">
        <v>3362.5189999999998</v>
      </c>
      <c r="BW117">
        <v>3365.2170000000001</v>
      </c>
      <c r="BX117">
        <v>162.01599999999999</v>
      </c>
      <c r="BY117">
        <v>2856.5219999999999</v>
      </c>
      <c r="BZ117">
        <v>3678.261</v>
      </c>
      <c r="CA117">
        <v>3</v>
      </c>
      <c r="CB117">
        <v>4</v>
      </c>
      <c r="CC117">
        <v>4</v>
      </c>
      <c r="CD117">
        <v>1</v>
      </c>
      <c r="CE117">
        <v>4</v>
      </c>
      <c r="CF117">
        <v>1</v>
      </c>
    </row>
    <row r="118" spans="1:84" x14ac:dyDescent="0.35">
      <c r="A118" t="s">
        <v>383</v>
      </c>
      <c r="B118" t="str">
        <f t="shared" si="7"/>
        <v xml:space="preserve"> ma_ti_2006_01_05_815</v>
      </c>
      <c r="C118" s="1">
        <f t="shared" si="8"/>
        <v>45761</v>
      </c>
      <c r="D118" t="s">
        <v>78</v>
      </c>
      <c r="E118">
        <v>254.947</v>
      </c>
      <c r="F118">
        <v>255.124</v>
      </c>
      <c r="G118">
        <v>3.2210000000000001</v>
      </c>
      <c r="H118">
        <v>248.351</v>
      </c>
      <c r="I118">
        <v>0.49982142857142858</v>
      </c>
      <c r="J118">
        <v>288.23500000000001</v>
      </c>
      <c r="K118">
        <v>0</v>
      </c>
      <c r="L118">
        <v>0.379</v>
      </c>
      <c r="M118">
        <v>-33.298000000000002</v>
      </c>
      <c r="N118">
        <v>463.56700000000001</v>
      </c>
      <c r="O118">
        <v>434.17700000000002</v>
      </c>
      <c r="P118">
        <v>53.35</v>
      </c>
      <c r="Q118">
        <v>310.12700000000001</v>
      </c>
      <c r="R118">
        <v>620.25300000000004</v>
      </c>
      <c r="S118">
        <v>1359.703</v>
      </c>
      <c r="T118">
        <v>1364.557</v>
      </c>
      <c r="U118">
        <v>56.247</v>
      </c>
      <c r="V118">
        <v>1178.481</v>
      </c>
      <c r="W118">
        <v>1488.6079999999999</v>
      </c>
      <c r="X118">
        <v>3135.7840000000001</v>
      </c>
      <c r="Y118">
        <v>3163.2910000000002</v>
      </c>
      <c r="Z118">
        <v>193.41800000000001</v>
      </c>
      <c r="AA118">
        <v>2418.9870000000001</v>
      </c>
      <c r="AB118">
        <v>3597.4679999999998</v>
      </c>
      <c r="AC118">
        <v>5.6</v>
      </c>
      <c r="AD118">
        <v>260.10599999999999</v>
      </c>
      <c r="AE118">
        <v>260.50599999999997</v>
      </c>
      <c r="AF118">
        <v>3.5150000000000001</v>
      </c>
      <c r="AG118">
        <v>238.011</v>
      </c>
      <c r="AH118">
        <v>6.1068702290076335E-3</v>
      </c>
      <c r="AI118">
        <v>267.96899999999999</v>
      </c>
      <c r="AJ118">
        <v>0.8543893129770993</v>
      </c>
      <c r="AK118">
        <v>0.34</v>
      </c>
      <c r="AL118">
        <v>-34.372</v>
      </c>
      <c r="AM118">
        <v>278.40899999999999</v>
      </c>
      <c r="AN118">
        <v>253.44800000000001</v>
      </c>
      <c r="AO118">
        <v>31.007000000000001</v>
      </c>
      <c r="AP118">
        <v>253.44800000000001</v>
      </c>
      <c r="AQ118">
        <v>316.81</v>
      </c>
      <c r="AR118">
        <v>1710.7760000000001</v>
      </c>
      <c r="AS118">
        <v>1710.7760000000001</v>
      </c>
      <c r="AT118">
        <v>179.215</v>
      </c>
      <c r="AU118">
        <v>1584.0519999999999</v>
      </c>
      <c r="AV118">
        <v>1837.5</v>
      </c>
      <c r="AW118">
        <v>3286.5709999999999</v>
      </c>
      <c r="AX118">
        <v>3294.828</v>
      </c>
      <c r="AY118">
        <v>112.622</v>
      </c>
      <c r="AZ118">
        <v>3041.3789999999999</v>
      </c>
      <c r="BA118">
        <v>3801.7240000000002</v>
      </c>
      <c r="BB118">
        <v>5.24</v>
      </c>
      <c r="BC118">
        <v>259.59500000000003</v>
      </c>
      <c r="BD118">
        <v>260.50599999999997</v>
      </c>
      <c r="BE118">
        <v>4.46</v>
      </c>
      <c r="BF118">
        <v>237.64400000000001</v>
      </c>
      <c r="BG118">
        <v>1.7008196721311476E-2</v>
      </c>
      <c r="BH118">
        <v>268.435</v>
      </c>
      <c r="BI118">
        <v>0.99262295081967222</v>
      </c>
      <c r="BJ118">
        <v>0.38400000000000001</v>
      </c>
      <c r="BK118">
        <v>-33.770000000000003</v>
      </c>
      <c r="BL118">
        <v>348.31900000000002</v>
      </c>
      <c r="BM118">
        <v>379.08300000000003</v>
      </c>
      <c r="BN118">
        <v>42.874000000000002</v>
      </c>
      <c r="BO118">
        <v>252.72200000000001</v>
      </c>
      <c r="BP118">
        <v>442.26400000000001</v>
      </c>
      <c r="BQ118">
        <v>1101.4469999999999</v>
      </c>
      <c r="BR118">
        <v>1074.069</v>
      </c>
      <c r="BS118">
        <v>77.260999999999996</v>
      </c>
      <c r="BT118">
        <v>1010.888</v>
      </c>
      <c r="BU118">
        <v>1326.7909999999999</v>
      </c>
      <c r="BV118">
        <v>3344.8510000000001</v>
      </c>
      <c r="BW118">
        <v>3411.748</v>
      </c>
      <c r="BX118">
        <v>205.126</v>
      </c>
      <c r="BY118">
        <v>2590.4009999999998</v>
      </c>
      <c r="BZ118">
        <v>3727.65</v>
      </c>
      <c r="CA118">
        <v>4.88</v>
      </c>
      <c r="CB118">
        <v>5</v>
      </c>
      <c r="CC118">
        <v>8</v>
      </c>
      <c r="CD118">
        <v>0</v>
      </c>
      <c r="CE118">
        <v>6</v>
      </c>
      <c r="CF118">
        <v>6</v>
      </c>
    </row>
    <row r="119" spans="1:84" x14ac:dyDescent="0.35">
      <c r="A119" t="s">
        <v>384</v>
      </c>
      <c r="B119" t="str">
        <f t="shared" si="7"/>
        <v xml:space="preserve"> ma_va_2005_03_05_742</v>
      </c>
      <c r="C119" s="1">
        <f t="shared" si="8"/>
        <v>45761</v>
      </c>
      <c r="D119" t="s">
        <v>78</v>
      </c>
      <c r="E119">
        <v>177.553</v>
      </c>
      <c r="F119">
        <v>178.02799999999999</v>
      </c>
      <c r="G119">
        <v>3.2839999999999998</v>
      </c>
      <c r="H119">
        <v>171.5</v>
      </c>
      <c r="I119">
        <v>0.40618556701030933</v>
      </c>
      <c r="J119">
        <v>185.29400000000001</v>
      </c>
      <c r="K119">
        <v>0.97268041237113401</v>
      </c>
      <c r="L119">
        <v>0.65400000000000003</v>
      </c>
      <c r="M119">
        <v>-27.335000000000001</v>
      </c>
      <c r="N119">
        <v>596.37199999999996</v>
      </c>
      <c r="O119">
        <v>636.05799999999999</v>
      </c>
      <c r="P119">
        <v>89.715999999999994</v>
      </c>
      <c r="Q119">
        <v>424.03800000000001</v>
      </c>
      <c r="R119">
        <v>763.26900000000001</v>
      </c>
      <c r="S119">
        <v>1204.4839999999999</v>
      </c>
      <c r="T119">
        <v>1187.308</v>
      </c>
      <c r="U119">
        <v>101.288</v>
      </c>
      <c r="V119">
        <v>1060.096</v>
      </c>
      <c r="W119">
        <v>1441.731</v>
      </c>
      <c r="X119">
        <v>2707.5639999999999</v>
      </c>
      <c r="Y119">
        <v>2671.442</v>
      </c>
      <c r="Z119">
        <v>237.15</v>
      </c>
      <c r="AA119">
        <v>2374.6149999999998</v>
      </c>
      <c r="AB119">
        <v>3646.7310000000002</v>
      </c>
      <c r="AC119">
        <v>1.94</v>
      </c>
      <c r="AD119">
        <v>181.41900000000001</v>
      </c>
      <c r="AE119">
        <v>178.18199999999999</v>
      </c>
      <c r="AF119">
        <v>11.500999999999999</v>
      </c>
      <c r="AG119">
        <v>175.697</v>
      </c>
      <c r="AH119">
        <v>0.8922535211267606</v>
      </c>
      <c r="AI119">
        <v>259.41199999999998</v>
      </c>
      <c r="AJ119">
        <v>0</v>
      </c>
      <c r="AK119">
        <v>0.94299999999999995</v>
      </c>
      <c r="AL119">
        <v>-28.952999999999999</v>
      </c>
      <c r="AM119">
        <v>353.40199999999999</v>
      </c>
      <c r="AN119">
        <v>346.56200000000001</v>
      </c>
      <c r="AO119">
        <v>17.917000000000002</v>
      </c>
      <c r="AP119">
        <v>303.24200000000002</v>
      </c>
      <c r="AQ119">
        <v>389.88200000000001</v>
      </c>
      <c r="AR119">
        <v>2508.9639999999999</v>
      </c>
      <c r="AS119">
        <v>2534.2339999999999</v>
      </c>
      <c r="AT119">
        <v>118.937</v>
      </c>
      <c r="AU119">
        <v>2166.0120000000002</v>
      </c>
      <c r="AV119">
        <v>2599.2139999999999</v>
      </c>
      <c r="AW119">
        <v>3115.4470000000001</v>
      </c>
      <c r="AX119">
        <v>3119.0569999999998</v>
      </c>
      <c r="AY119">
        <v>124.66200000000001</v>
      </c>
      <c r="AZ119">
        <v>2902.4560000000001</v>
      </c>
      <c r="BA119">
        <v>3422.299</v>
      </c>
      <c r="BB119">
        <v>1.42</v>
      </c>
      <c r="BC119">
        <v>186.441</v>
      </c>
      <c r="BD119">
        <v>184.62899999999999</v>
      </c>
      <c r="BE119">
        <v>8.1880000000000006</v>
      </c>
      <c r="BF119">
        <v>178.02799999999999</v>
      </c>
      <c r="BG119">
        <v>0.95769230769230773</v>
      </c>
      <c r="BH119">
        <v>225.82300000000001</v>
      </c>
      <c r="BI119">
        <v>0</v>
      </c>
      <c r="BJ119">
        <v>0.81799999999999995</v>
      </c>
      <c r="BK119">
        <v>-28.896000000000001</v>
      </c>
      <c r="BL119">
        <v>364.62799999999999</v>
      </c>
      <c r="BM119">
        <v>359.63299999999998</v>
      </c>
      <c r="BN119">
        <v>14.26</v>
      </c>
      <c r="BO119">
        <v>359.63299999999998</v>
      </c>
      <c r="BP119">
        <v>404.58699999999999</v>
      </c>
      <c r="BQ119">
        <v>1018.96</v>
      </c>
      <c r="BR119">
        <v>1033.9449999999999</v>
      </c>
      <c r="BS119">
        <v>25.954000000000001</v>
      </c>
      <c r="BT119">
        <v>988.99099999999999</v>
      </c>
      <c r="BU119">
        <v>1033.9449999999999</v>
      </c>
      <c r="BV119">
        <v>3276.1309999999999</v>
      </c>
      <c r="BW119">
        <v>3236.6970000000001</v>
      </c>
      <c r="BX119">
        <v>133.26599999999999</v>
      </c>
      <c r="BY119">
        <v>3011.9270000000001</v>
      </c>
      <c r="BZ119">
        <v>3731.1930000000002</v>
      </c>
      <c r="CA119">
        <v>1.3</v>
      </c>
    </row>
    <row r="120" spans="1:84" x14ac:dyDescent="0.35">
      <c r="A120" t="s">
        <v>385</v>
      </c>
      <c r="B120" t="str">
        <f t="shared" si="7"/>
        <v xml:space="preserve"> ma_za_2004_06_10_668</v>
      </c>
      <c r="C120" s="1">
        <f t="shared" si="8"/>
        <v>45761</v>
      </c>
      <c r="D120" t="s">
        <v>78</v>
      </c>
      <c r="E120">
        <v>205.84700000000001</v>
      </c>
      <c r="F120">
        <v>205.38900000000001</v>
      </c>
      <c r="G120">
        <v>3.5049999999999999</v>
      </c>
      <c r="H120">
        <v>199.03299999999999</v>
      </c>
      <c r="I120">
        <v>7.9034690799396692E-2</v>
      </c>
      <c r="J120">
        <v>223.21</v>
      </c>
      <c r="K120">
        <v>1</v>
      </c>
      <c r="L120">
        <v>0.57499999999999996</v>
      </c>
      <c r="M120">
        <v>-32.04</v>
      </c>
      <c r="N120">
        <v>434.44900000000001</v>
      </c>
      <c r="O120">
        <v>447.96800000000002</v>
      </c>
      <c r="P120">
        <v>49.627000000000002</v>
      </c>
      <c r="Q120">
        <v>298.64600000000002</v>
      </c>
      <c r="R120">
        <v>895.93700000000001</v>
      </c>
      <c r="S120">
        <v>1101.354</v>
      </c>
      <c r="T120">
        <v>1095.0340000000001</v>
      </c>
      <c r="U120">
        <v>33.305999999999997</v>
      </c>
      <c r="V120">
        <v>1045.26</v>
      </c>
      <c r="W120">
        <v>1194.5820000000001</v>
      </c>
      <c r="X120">
        <v>3772.462</v>
      </c>
      <c r="Y120">
        <v>3832.6190000000001</v>
      </c>
      <c r="Z120">
        <v>256.64299999999997</v>
      </c>
      <c r="AA120">
        <v>3036.23</v>
      </c>
      <c r="AB120">
        <v>4230.8130000000001</v>
      </c>
      <c r="AC120">
        <v>3.3149999999999999</v>
      </c>
      <c r="AD120">
        <v>210.42</v>
      </c>
      <c r="AE120">
        <v>210</v>
      </c>
      <c r="AF120">
        <v>3.1509999999999998</v>
      </c>
      <c r="AG120">
        <v>205.8</v>
      </c>
      <c r="AH120">
        <v>0.13333333333333333</v>
      </c>
      <c r="AI120">
        <v>232.45500000000001</v>
      </c>
      <c r="AJ120">
        <v>7.0921985815602844E-3</v>
      </c>
      <c r="AK120">
        <v>0.378</v>
      </c>
      <c r="AL120">
        <v>-32.493000000000002</v>
      </c>
      <c r="AM120">
        <v>358.97699999999998</v>
      </c>
      <c r="AN120">
        <v>356.46699999999998</v>
      </c>
      <c r="AO120">
        <v>22.140999999999998</v>
      </c>
      <c r="AP120">
        <v>356.46699999999998</v>
      </c>
      <c r="AQ120">
        <v>611.08500000000004</v>
      </c>
      <c r="AR120">
        <v>2466.1660000000002</v>
      </c>
      <c r="AS120">
        <v>2546.1889999999999</v>
      </c>
      <c r="AT120">
        <v>120.712</v>
      </c>
      <c r="AU120">
        <v>2291.5700000000002</v>
      </c>
      <c r="AV120">
        <v>2597.1129999999998</v>
      </c>
      <c r="AW120">
        <v>4017.9589999999998</v>
      </c>
      <c r="AX120">
        <v>4048.4409999999998</v>
      </c>
      <c r="AY120">
        <v>174.446</v>
      </c>
      <c r="AZ120">
        <v>3513.741</v>
      </c>
      <c r="BA120">
        <v>4328.5219999999999</v>
      </c>
      <c r="BB120">
        <v>2.82</v>
      </c>
      <c r="BC120">
        <v>208.001</v>
      </c>
      <c r="BD120">
        <v>208.15899999999999</v>
      </c>
      <c r="BE120">
        <v>9.0920000000000005</v>
      </c>
      <c r="BF120">
        <v>107.337</v>
      </c>
      <c r="BG120">
        <v>0</v>
      </c>
      <c r="BH120">
        <v>225</v>
      </c>
      <c r="BI120">
        <v>0.98933823529411746</v>
      </c>
      <c r="BJ120">
        <v>1.0169999999999999</v>
      </c>
      <c r="BK120">
        <v>-31.712</v>
      </c>
      <c r="BL120">
        <v>349.70800000000003</v>
      </c>
      <c r="BM120">
        <v>351.19499999999999</v>
      </c>
      <c r="BN120">
        <v>10.510999999999999</v>
      </c>
      <c r="BO120">
        <v>301.024</v>
      </c>
      <c r="BP120">
        <v>401.36500000000001</v>
      </c>
      <c r="BQ120">
        <v>960.41</v>
      </c>
      <c r="BR120">
        <v>953.24199999999996</v>
      </c>
      <c r="BS120">
        <v>18.963000000000001</v>
      </c>
      <c r="BT120">
        <v>953.24199999999996</v>
      </c>
      <c r="BU120">
        <v>1003.413</v>
      </c>
      <c r="BV120">
        <v>3969.4270000000001</v>
      </c>
      <c r="BW120">
        <v>3963.4810000000002</v>
      </c>
      <c r="BX120">
        <v>162.28800000000001</v>
      </c>
      <c r="BY120">
        <v>3511.9450000000002</v>
      </c>
      <c r="BZ120">
        <v>4264.5050000000001</v>
      </c>
      <c r="CA120">
        <v>2.72</v>
      </c>
      <c r="CB120">
        <v>7</v>
      </c>
      <c r="CC120">
        <v>1</v>
      </c>
      <c r="CD120">
        <v>0</v>
      </c>
      <c r="CE120">
        <v>2</v>
      </c>
      <c r="CF120">
        <v>0</v>
      </c>
    </row>
    <row r="121" spans="1:84" x14ac:dyDescent="0.35">
      <c r="A121" t="s">
        <v>386</v>
      </c>
      <c r="B121" t="str">
        <f t="shared" si="7"/>
        <v xml:space="preserve"> ni_ru_2004_05_20_372</v>
      </c>
      <c r="C121" s="1">
        <f t="shared" si="8"/>
        <v>45761</v>
      </c>
      <c r="D121" t="s">
        <v>78</v>
      </c>
      <c r="E121">
        <v>221.636</v>
      </c>
      <c r="F121">
        <v>222.24600000000001</v>
      </c>
      <c r="G121">
        <v>3.831</v>
      </c>
      <c r="H121">
        <v>214.078</v>
      </c>
      <c r="I121">
        <v>0.12840909090909092</v>
      </c>
      <c r="J121">
        <v>239.67400000000001</v>
      </c>
      <c r="K121">
        <v>0</v>
      </c>
      <c r="L121">
        <v>0.44700000000000001</v>
      </c>
      <c r="M121">
        <v>-15.973000000000001</v>
      </c>
      <c r="N121">
        <v>889.995</v>
      </c>
      <c r="O121">
        <v>910.93600000000004</v>
      </c>
      <c r="P121">
        <v>87.001999999999995</v>
      </c>
      <c r="Q121">
        <v>535.84400000000005</v>
      </c>
      <c r="R121">
        <v>1018.104</v>
      </c>
      <c r="S121">
        <v>1335.578</v>
      </c>
      <c r="T121">
        <v>1339.6110000000001</v>
      </c>
      <c r="U121">
        <v>75.876999999999995</v>
      </c>
      <c r="V121">
        <v>1125.2729999999999</v>
      </c>
      <c r="W121">
        <v>1768.287</v>
      </c>
      <c r="X121">
        <v>2648.1089999999999</v>
      </c>
      <c r="Y121">
        <v>2625.6379999999999</v>
      </c>
      <c r="Z121">
        <v>269.238</v>
      </c>
      <c r="AA121">
        <v>2196.962</v>
      </c>
      <c r="AB121">
        <v>3429.4050000000002</v>
      </c>
      <c r="AC121">
        <v>1.76</v>
      </c>
      <c r="AD121">
        <v>226.428</v>
      </c>
      <c r="AE121">
        <v>226.48599999999999</v>
      </c>
      <c r="AF121">
        <v>2.8290000000000002</v>
      </c>
      <c r="AG121">
        <v>220.97399999999999</v>
      </c>
      <c r="AH121">
        <v>8.3116883116883117E-2</v>
      </c>
      <c r="AI121">
        <v>240.42099999999999</v>
      </c>
      <c r="AJ121">
        <v>0.97532467532467526</v>
      </c>
      <c r="AK121">
        <v>0.50900000000000001</v>
      </c>
      <c r="AL121">
        <v>-31.283999999999999</v>
      </c>
      <c r="AM121">
        <v>371.053</v>
      </c>
      <c r="AN121">
        <v>386.84199999999998</v>
      </c>
      <c r="AO121">
        <v>25.422999999999998</v>
      </c>
      <c r="AP121">
        <v>331.57900000000001</v>
      </c>
      <c r="AQ121">
        <v>386.84199999999998</v>
      </c>
      <c r="AR121">
        <v>1648.684</v>
      </c>
      <c r="AS121">
        <v>1657.895</v>
      </c>
      <c r="AT121">
        <v>149.553</v>
      </c>
      <c r="AU121">
        <v>1326.316</v>
      </c>
      <c r="AV121">
        <v>1934.211</v>
      </c>
      <c r="AW121">
        <v>3982.942</v>
      </c>
      <c r="AX121">
        <v>3978.9470000000001</v>
      </c>
      <c r="AY121">
        <v>149.184</v>
      </c>
      <c r="AZ121">
        <v>3150</v>
      </c>
      <c r="BA121">
        <v>4310.5259999999998</v>
      </c>
      <c r="BB121">
        <v>1.54</v>
      </c>
      <c r="BC121">
        <v>230.13</v>
      </c>
      <c r="BD121">
        <v>230.37299999999999</v>
      </c>
      <c r="BE121">
        <v>4.2569999999999997</v>
      </c>
      <c r="BF121">
        <v>220.65799999999999</v>
      </c>
      <c r="BG121">
        <v>4.1860465116279069E-2</v>
      </c>
      <c r="BH121">
        <v>245.976</v>
      </c>
      <c r="BI121">
        <v>0.98662790697674418</v>
      </c>
      <c r="BJ121">
        <v>0.51400000000000001</v>
      </c>
      <c r="BK121">
        <v>-31.375</v>
      </c>
      <c r="BL121">
        <v>295.52</v>
      </c>
      <c r="BM121">
        <v>279.822</v>
      </c>
      <c r="BN121">
        <v>25.295999999999999</v>
      </c>
      <c r="BO121">
        <v>279.822</v>
      </c>
      <c r="BP121">
        <v>335.78699999999998</v>
      </c>
      <c r="BQ121">
        <v>1099.4970000000001</v>
      </c>
      <c r="BR121">
        <v>1119.289</v>
      </c>
      <c r="BS121">
        <v>56.564</v>
      </c>
      <c r="BT121">
        <v>1007.36</v>
      </c>
      <c r="BU121">
        <v>1455.076</v>
      </c>
      <c r="BV121">
        <v>3972.8879999999999</v>
      </c>
      <c r="BW121">
        <v>4029.442</v>
      </c>
      <c r="BX121">
        <v>230.96299999999999</v>
      </c>
      <c r="BY121">
        <v>3134.01</v>
      </c>
      <c r="BZ121">
        <v>4421.1930000000002</v>
      </c>
      <c r="CA121">
        <v>1.72</v>
      </c>
      <c r="CB121">
        <v>6</v>
      </c>
      <c r="CC121">
        <v>2</v>
      </c>
      <c r="CD121">
        <v>0</v>
      </c>
      <c r="CE121">
        <v>3</v>
      </c>
      <c r="CF121">
        <v>0</v>
      </c>
    </row>
    <row r="122" spans="1:84" x14ac:dyDescent="0.35">
      <c r="A122" t="s">
        <v>387</v>
      </c>
      <c r="B122" t="str">
        <f t="shared" si="7"/>
        <v xml:space="preserve"> no_bi_2001_04_24_039</v>
      </c>
      <c r="C122" s="1">
        <f t="shared" si="8"/>
        <v>45761</v>
      </c>
      <c r="D122" t="s">
        <v>78</v>
      </c>
      <c r="E122">
        <v>193.631</v>
      </c>
      <c r="F122">
        <v>193.36099999999999</v>
      </c>
      <c r="G122">
        <v>2.6789999999999998</v>
      </c>
      <c r="H122">
        <v>184.51900000000001</v>
      </c>
      <c r="I122">
        <v>9.482758620689655E-3</v>
      </c>
      <c r="J122">
        <v>203.762</v>
      </c>
      <c r="K122">
        <v>0</v>
      </c>
      <c r="L122">
        <v>0.42199999999999999</v>
      </c>
      <c r="M122">
        <v>-26.358000000000001</v>
      </c>
      <c r="N122">
        <v>934.22199999999998</v>
      </c>
      <c r="O122">
        <v>929.399</v>
      </c>
      <c r="P122">
        <v>40.015999999999998</v>
      </c>
      <c r="Q122">
        <v>836.45899999999995</v>
      </c>
      <c r="R122">
        <v>1068.809</v>
      </c>
      <c r="S122">
        <v>1027.701</v>
      </c>
      <c r="T122">
        <v>1022.3390000000001</v>
      </c>
      <c r="U122">
        <v>29.181000000000001</v>
      </c>
      <c r="V122">
        <v>975.86900000000003</v>
      </c>
      <c r="W122">
        <v>1115.279</v>
      </c>
      <c r="X122">
        <v>3411.1590000000001</v>
      </c>
      <c r="Y122">
        <v>3438.7779999999998</v>
      </c>
      <c r="Z122">
        <v>254.99299999999999</v>
      </c>
      <c r="AA122">
        <v>2927.6080000000002</v>
      </c>
      <c r="AB122">
        <v>3996.4169999999999</v>
      </c>
      <c r="AC122">
        <v>2.3199999999999998</v>
      </c>
      <c r="AD122">
        <v>190.79599999999999</v>
      </c>
      <c r="AE122">
        <v>190.85</v>
      </c>
      <c r="AF122">
        <v>2.4500000000000002</v>
      </c>
      <c r="AG122">
        <v>183.64099999999999</v>
      </c>
      <c r="AH122">
        <v>0.99031007751937983</v>
      </c>
      <c r="AI122">
        <v>195.62700000000001</v>
      </c>
      <c r="AJ122">
        <v>0.95581395348837217</v>
      </c>
      <c r="AK122">
        <v>0.43</v>
      </c>
      <c r="AL122">
        <v>-27.834</v>
      </c>
      <c r="AM122">
        <v>362.94499999999999</v>
      </c>
      <c r="AN122">
        <v>363.33699999999999</v>
      </c>
      <c r="AO122">
        <v>4217</v>
      </c>
      <c r="AP122">
        <v>317.92</v>
      </c>
      <c r="AQ122">
        <v>363.33699999999999</v>
      </c>
      <c r="AR122">
        <v>2388.6550000000002</v>
      </c>
      <c r="AS122">
        <v>2407.1060000000002</v>
      </c>
      <c r="AT122">
        <v>148.56700000000001</v>
      </c>
      <c r="AU122">
        <v>1771.2670000000001</v>
      </c>
      <c r="AV122">
        <v>2543.357</v>
      </c>
      <c r="AW122">
        <v>4167.0190000000002</v>
      </c>
      <c r="AX122">
        <v>4178.3729999999996</v>
      </c>
      <c r="AY122">
        <v>62.207999999999998</v>
      </c>
      <c r="AZ122">
        <v>3815.0360000000001</v>
      </c>
      <c r="BA122">
        <v>4269.2070000000003</v>
      </c>
      <c r="BB122">
        <v>2.58</v>
      </c>
      <c r="BC122">
        <v>194.06800000000001</v>
      </c>
      <c r="BD122">
        <v>193.05799999999999</v>
      </c>
      <c r="BE122">
        <v>5.2050000000000001</v>
      </c>
      <c r="BF122">
        <v>187.774</v>
      </c>
      <c r="BG122">
        <v>0.54645669291338583</v>
      </c>
      <c r="BH122">
        <v>217.85499999999999</v>
      </c>
      <c r="BI122">
        <v>0.9562992125984251</v>
      </c>
      <c r="BJ122">
        <v>0.77600000000000002</v>
      </c>
      <c r="BK122">
        <v>-24.206</v>
      </c>
      <c r="BL122">
        <v>376.52499999999998</v>
      </c>
      <c r="BM122">
        <v>372.15199999999999</v>
      </c>
      <c r="BN122">
        <v>23.643999999999998</v>
      </c>
      <c r="BO122">
        <v>372.15199999999999</v>
      </c>
      <c r="BP122">
        <v>604.74699999999996</v>
      </c>
      <c r="BQ122">
        <v>981.68700000000001</v>
      </c>
      <c r="BR122">
        <v>976.899</v>
      </c>
      <c r="BS122">
        <v>26.824999999999999</v>
      </c>
      <c r="BT122">
        <v>930.38</v>
      </c>
      <c r="BU122">
        <v>1069.9369999999999</v>
      </c>
      <c r="BV122">
        <v>4130.25</v>
      </c>
      <c r="BW122">
        <v>4093.6709999999998</v>
      </c>
      <c r="BX122">
        <v>75.016999999999996</v>
      </c>
      <c r="BY122">
        <v>3907.5949999999998</v>
      </c>
      <c r="BZ122">
        <v>4326.2659999999996</v>
      </c>
      <c r="CA122">
        <v>2.54</v>
      </c>
      <c r="CB122">
        <v>5</v>
      </c>
      <c r="CC122">
        <v>4</v>
      </c>
      <c r="CD122">
        <v>6</v>
      </c>
      <c r="CE122">
        <v>5</v>
      </c>
      <c r="CF122">
        <v>6</v>
      </c>
    </row>
    <row r="123" spans="1:84" x14ac:dyDescent="0.35">
      <c r="A123" t="s">
        <v>388</v>
      </c>
      <c r="B123" t="str">
        <f t="shared" ref="B123:B154" si="9">_xlfn.TEXTAFTER(A123,"-")</f>
        <v xml:space="preserve"> no_un_2005_06_29_880</v>
      </c>
      <c r="C123" s="1">
        <f t="shared" si="8"/>
        <v>45761</v>
      </c>
      <c r="D123" t="s">
        <v>78</v>
      </c>
      <c r="E123">
        <v>211.232</v>
      </c>
      <c r="F123">
        <v>210.215</v>
      </c>
      <c r="G123">
        <v>3.726</v>
      </c>
      <c r="H123">
        <v>206.62700000000001</v>
      </c>
      <c r="I123">
        <v>0.47588235294117653</v>
      </c>
      <c r="J123">
        <v>225.82300000000001</v>
      </c>
      <c r="K123">
        <v>1.1764705882352941E-2</v>
      </c>
      <c r="L123">
        <v>0.55000000000000004</v>
      </c>
      <c r="M123">
        <v>-21.218</v>
      </c>
      <c r="N123">
        <v>683.32299999999998</v>
      </c>
      <c r="O123">
        <v>666.62800000000004</v>
      </c>
      <c r="P123">
        <v>42.68</v>
      </c>
      <c r="Q123">
        <v>564.07000000000005</v>
      </c>
      <c r="R123">
        <v>820.46500000000003</v>
      </c>
      <c r="S123">
        <v>1110.8409999999999</v>
      </c>
      <c r="T123">
        <v>1076.8599999999999</v>
      </c>
      <c r="U123">
        <v>43.332000000000001</v>
      </c>
      <c r="V123">
        <v>1025.5809999999999</v>
      </c>
      <c r="W123">
        <v>1230.6980000000001</v>
      </c>
      <c r="X123">
        <v>3618.752</v>
      </c>
      <c r="Y123">
        <v>3640.8139999999999</v>
      </c>
      <c r="Z123">
        <v>224.35499999999999</v>
      </c>
      <c r="AA123">
        <v>2922.9070000000002</v>
      </c>
      <c r="AB123">
        <v>3999.7669999999998</v>
      </c>
      <c r="AC123">
        <v>1.7</v>
      </c>
      <c r="AD123">
        <v>213.137</v>
      </c>
      <c r="AE123">
        <v>211.43799999999999</v>
      </c>
      <c r="AF123">
        <v>6.7809999999999997</v>
      </c>
      <c r="AG123">
        <v>207.87899999999999</v>
      </c>
      <c r="AH123">
        <v>0.45692307692307688</v>
      </c>
      <c r="AI123">
        <v>254.91300000000001</v>
      </c>
      <c r="AJ123">
        <v>0</v>
      </c>
      <c r="AK123">
        <v>0.60699999999999998</v>
      </c>
      <c r="AL123">
        <v>-23.384</v>
      </c>
      <c r="AM123">
        <v>356.55</v>
      </c>
      <c r="AN123">
        <v>358.95299999999997</v>
      </c>
      <c r="AO123">
        <v>14.242000000000001</v>
      </c>
      <c r="AP123">
        <v>307.67399999999998</v>
      </c>
      <c r="AQ123">
        <v>410.233</v>
      </c>
      <c r="AR123">
        <v>1527.384</v>
      </c>
      <c r="AS123">
        <v>1538.3720000000001</v>
      </c>
      <c r="AT123">
        <v>88.082999999999998</v>
      </c>
      <c r="AU123">
        <v>1333.2560000000001</v>
      </c>
      <c r="AV123">
        <v>1640.93</v>
      </c>
      <c r="AW123">
        <v>3726.8049999999998</v>
      </c>
      <c r="AX123">
        <v>3743.3719999999998</v>
      </c>
      <c r="AY123">
        <v>88.867999999999995</v>
      </c>
      <c r="AZ123">
        <v>3538.2559999999999</v>
      </c>
      <c r="BA123">
        <v>4051.047</v>
      </c>
      <c r="BB123">
        <v>1.3</v>
      </c>
      <c r="BC123">
        <v>216.32400000000001</v>
      </c>
      <c r="BD123">
        <v>215.874</v>
      </c>
      <c r="BE123">
        <v>3.427</v>
      </c>
      <c r="BF123">
        <v>210.86099999999999</v>
      </c>
      <c r="BG123">
        <v>0.1138157894736842</v>
      </c>
      <c r="BH123">
        <v>233.15700000000001</v>
      </c>
      <c r="BI123">
        <v>1.2499999999999999E-2</v>
      </c>
      <c r="BJ123">
        <v>0.63300000000000001</v>
      </c>
      <c r="BK123">
        <v>-28.152000000000001</v>
      </c>
      <c r="BL123">
        <v>421.00200000000001</v>
      </c>
      <c r="BM123">
        <v>421.00200000000001</v>
      </c>
      <c r="BN123">
        <v>22.44</v>
      </c>
      <c r="BO123">
        <v>368.37700000000001</v>
      </c>
      <c r="BP123">
        <v>578.87800000000004</v>
      </c>
      <c r="BQ123">
        <v>1080.8430000000001</v>
      </c>
      <c r="BR123">
        <v>1052.5060000000001</v>
      </c>
      <c r="BS123">
        <v>78.98</v>
      </c>
      <c r="BT123">
        <v>999.88099999999997</v>
      </c>
      <c r="BU123">
        <v>1315.6320000000001</v>
      </c>
      <c r="BV123">
        <v>2907.21</v>
      </c>
      <c r="BW123">
        <v>2947.0169999999998</v>
      </c>
      <c r="BX123">
        <v>220.38200000000001</v>
      </c>
      <c r="BY123">
        <v>2105.0120000000002</v>
      </c>
      <c r="BZ123">
        <v>3473.27</v>
      </c>
      <c r="CA123">
        <v>1.52</v>
      </c>
    </row>
    <row r="124" spans="1:84" x14ac:dyDescent="0.35">
      <c r="A124" t="s">
        <v>389</v>
      </c>
      <c r="B124" t="str">
        <f t="shared" si="9"/>
        <v xml:space="preserve"> pa_po_2005_02_13_810</v>
      </c>
      <c r="C124" s="1">
        <f t="shared" si="8"/>
        <v>45761</v>
      </c>
      <c r="D124" t="s">
        <v>78</v>
      </c>
      <c r="E124">
        <v>201.18100000000001</v>
      </c>
      <c r="F124">
        <v>200.715</v>
      </c>
      <c r="G124">
        <v>4.6500000000000004</v>
      </c>
      <c r="H124">
        <v>197.505</v>
      </c>
      <c r="I124">
        <v>0.98818181818181805</v>
      </c>
      <c r="J124">
        <v>264.75099999999998</v>
      </c>
      <c r="K124">
        <v>4.7727272727272722E-3</v>
      </c>
      <c r="L124">
        <v>0.504</v>
      </c>
      <c r="M124">
        <v>-22.736999999999998</v>
      </c>
      <c r="N124">
        <v>887.68399999999997</v>
      </c>
      <c r="O124">
        <v>873.26700000000005</v>
      </c>
      <c r="P124">
        <v>70.239000000000004</v>
      </c>
      <c r="Q124">
        <v>485.149</v>
      </c>
      <c r="R124">
        <v>1018.812</v>
      </c>
      <c r="S124">
        <v>1273.5150000000001</v>
      </c>
      <c r="T124">
        <v>1261.386</v>
      </c>
      <c r="U124">
        <v>107.176</v>
      </c>
      <c r="V124">
        <v>1067.327</v>
      </c>
      <c r="W124">
        <v>1698.02</v>
      </c>
      <c r="X124">
        <v>2653.9</v>
      </c>
      <c r="Y124">
        <v>2619.8020000000001</v>
      </c>
      <c r="Z124">
        <v>196.41</v>
      </c>
      <c r="AA124">
        <v>2183.1680000000001</v>
      </c>
      <c r="AB124">
        <v>3201.98</v>
      </c>
      <c r="AC124">
        <v>4.4000000000000004</v>
      </c>
      <c r="AD124">
        <v>206.827</v>
      </c>
      <c r="AE124">
        <v>207.042</v>
      </c>
      <c r="AF124">
        <v>2.1339999999999999</v>
      </c>
      <c r="AG124">
        <v>196.875</v>
      </c>
      <c r="AH124">
        <v>0</v>
      </c>
      <c r="AI124">
        <v>212.16499999999999</v>
      </c>
      <c r="AJ124">
        <v>4.5454545454545452E-3</v>
      </c>
      <c r="AK124">
        <v>0.30199999999999999</v>
      </c>
      <c r="AL124">
        <v>-29.370999999999999</v>
      </c>
      <c r="AM124">
        <v>390.97800000000001</v>
      </c>
      <c r="AN124">
        <v>395.51600000000002</v>
      </c>
      <c r="AO124">
        <v>15.116</v>
      </c>
      <c r="AP124">
        <v>346.07600000000002</v>
      </c>
      <c r="AQ124">
        <v>444.95499999999998</v>
      </c>
      <c r="AR124">
        <v>2120.953</v>
      </c>
      <c r="AS124">
        <v>2125.8969999999999</v>
      </c>
      <c r="AT124">
        <v>447.36</v>
      </c>
      <c r="AU124">
        <v>1582.0630000000001</v>
      </c>
      <c r="AV124">
        <v>2570.8519999999999</v>
      </c>
      <c r="AW124">
        <v>3467.8580000000002</v>
      </c>
      <c r="AX124">
        <v>3510.2020000000002</v>
      </c>
      <c r="AY124">
        <v>179.06899999999999</v>
      </c>
      <c r="AZ124">
        <v>2916.9279999999999</v>
      </c>
      <c r="BA124">
        <v>3806.8389999999999</v>
      </c>
      <c r="BB124">
        <v>4.4000000000000004</v>
      </c>
      <c r="BC124">
        <v>209.089</v>
      </c>
      <c r="BD124">
        <v>209.715</v>
      </c>
      <c r="BE124">
        <v>7.9870000000000001</v>
      </c>
      <c r="BF124">
        <v>108.697</v>
      </c>
      <c r="BG124">
        <v>0</v>
      </c>
      <c r="BH124">
        <v>212.75</v>
      </c>
      <c r="BI124">
        <v>0.86220930232558146</v>
      </c>
      <c r="BJ124">
        <v>0.80600000000000005</v>
      </c>
      <c r="BK124">
        <v>-30.585999999999999</v>
      </c>
      <c r="BL124">
        <v>398.01</v>
      </c>
      <c r="BM124">
        <v>395.96</v>
      </c>
      <c r="BN124">
        <v>9892</v>
      </c>
      <c r="BO124">
        <v>395.96</v>
      </c>
      <c r="BP124">
        <v>445.45499999999998</v>
      </c>
      <c r="BQ124">
        <v>1056.5029999999999</v>
      </c>
      <c r="BR124">
        <v>1039.394</v>
      </c>
      <c r="BS124">
        <v>106.489</v>
      </c>
      <c r="BT124">
        <v>940.404</v>
      </c>
      <c r="BU124">
        <v>1534.3430000000001</v>
      </c>
      <c r="BV124">
        <v>3325.241</v>
      </c>
      <c r="BW124">
        <v>3316.1619999999998</v>
      </c>
      <c r="BX124">
        <v>237.96199999999999</v>
      </c>
      <c r="BY124">
        <v>2425.2530000000002</v>
      </c>
      <c r="BZ124">
        <v>3860.6060000000002</v>
      </c>
      <c r="CA124">
        <v>3.44</v>
      </c>
      <c r="CB124">
        <v>8</v>
      </c>
      <c r="CC124">
        <v>4</v>
      </c>
      <c r="CD124">
        <v>1</v>
      </c>
      <c r="CE124">
        <v>5</v>
      </c>
      <c r="CF124">
        <v>4</v>
      </c>
    </row>
    <row r="125" spans="1:84" x14ac:dyDescent="0.35">
      <c r="A125" t="s">
        <v>390</v>
      </c>
      <c r="B125" t="str">
        <f t="shared" si="9"/>
        <v xml:space="preserve"> ra_pe_2005_02_25_938</v>
      </c>
      <c r="C125" s="1">
        <f t="shared" si="8"/>
        <v>45761</v>
      </c>
      <c r="D125" t="s">
        <v>78</v>
      </c>
      <c r="E125">
        <v>178.54</v>
      </c>
      <c r="F125">
        <v>178.233</v>
      </c>
      <c r="G125">
        <v>2.3559999999999999</v>
      </c>
      <c r="H125">
        <v>174.80199999999999</v>
      </c>
      <c r="I125">
        <v>0.79849246231155779</v>
      </c>
      <c r="J125">
        <v>196.875</v>
      </c>
      <c r="K125">
        <v>5.0251256281407036E-3</v>
      </c>
      <c r="L125">
        <v>0.377</v>
      </c>
      <c r="M125">
        <v>-19.972999999999999</v>
      </c>
      <c r="N125">
        <v>686.36300000000006</v>
      </c>
      <c r="O125">
        <v>683.05899999999997</v>
      </c>
      <c r="P125">
        <v>57.027000000000001</v>
      </c>
      <c r="Q125">
        <v>512.29399999999998</v>
      </c>
      <c r="R125">
        <v>981.89700000000005</v>
      </c>
      <c r="S125">
        <v>1079.9849999999999</v>
      </c>
      <c r="T125">
        <v>1067.28</v>
      </c>
      <c r="U125">
        <v>51.084000000000003</v>
      </c>
      <c r="V125">
        <v>981.89700000000005</v>
      </c>
      <c r="W125">
        <v>1366.1179999999999</v>
      </c>
      <c r="X125">
        <v>3320.0610000000001</v>
      </c>
      <c r="Y125">
        <v>3329.913</v>
      </c>
      <c r="Z125">
        <v>194.63499999999999</v>
      </c>
      <c r="AA125">
        <v>2817.6190000000001</v>
      </c>
      <c r="AB125">
        <v>3927.59</v>
      </c>
      <c r="AC125">
        <v>3.98</v>
      </c>
      <c r="AD125">
        <v>182.20099999999999</v>
      </c>
      <c r="AE125">
        <v>181.375</v>
      </c>
      <c r="AF125">
        <v>4.4400000000000004</v>
      </c>
      <c r="AG125">
        <v>176.4</v>
      </c>
      <c r="AH125">
        <v>0.15388127853881281</v>
      </c>
      <c r="AI125">
        <v>220.815</v>
      </c>
      <c r="AJ125">
        <v>0</v>
      </c>
      <c r="AK125">
        <v>0.38800000000000001</v>
      </c>
      <c r="AL125">
        <v>-29.146999999999998</v>
      </c>
      <c r="AM125">
        <v>341.78199999999998</v>
      </c>
      <c r="AN125">
        <v>345.88200000000001</v>
      </c>
      <c r="AO125">
        <v>13.941000000000001</v>
      </c>
      <c r="AP125">
        <v>302.64699999999999</v>
      </c>
      <c r="AQ125">
        <v>389.11799999999999</v>
      </c>
      <c r="AR125">
        <v>1641.31</v>
      </c>
      <c r="AS125">
        <v>1599.7059999999999</v>
      </c>
      <c r="AT125">
        <v>151.43299999999999</v>
      </c>
      <c r="AU125">
        <v>1426.7650000000001</v>
      </c>
      <c r="AV125">
        <v>2118.529</v>
      </c>
      <c r="AW125">
        <v>3908.8850000000002</v>
      </c>
      <c r="AX125">
        <v>3891.1759999999999</v>
      </c>
      <c r="AY125">
        <v>196.92599999999999</v>
      </c>
      <c r="AZ125">
        <v>3545.2939999999999</v>
      </c>
      <c r="BA125">
        <v>4799.1180000000004</v>
      </c>
      <c r="BB125">
        <v>4.38</v>
      </c>
      <c r="BC125">
        <v>181.958</v>
      </c>
      <c r="BD125">
        <v>179.68600000000001</v>
      </c>
      <c r="BE125">
        <v>16.882999999999999</v>
      </c>
      <c r="BF125">
        <v>174.90100000000001</v>
      </c>
      <c r="BG125">
        <v>0.9698979591836735</v>
      </c>
      <c r="BH125">
        <v>321.89800000000002</v>
      </c>
      <c r="BI125">
        <v>0</v>
      </c>
      <c r="BJ125">
        <v>0.61099999999999999</v>
      </c>
      <c r="BK125">
        <v>-28.152000000000001</v>
      </c>
      <c r="BL125">
        <v>364.202</v>
      </c>
      <c r="BM125">
        <v>344.86799999999999</v>
      </c>
      <c r="BN125">
        <v>28.724</v>
      </c>
      <c r="BO125">
        <v>301.76</v>
      </c>
      <c r="BP125">
        <v>517.30200000000002</v>
      </c>
      <c r="BQ125">
        <v>975.97699999999998</v>
      </c>
      <c r="BR125">
        <v>948.38699999999994</v>
      </c>
      <c r="BS125">
        <v>82.513000000000005</v>
      </c>
      <c r="BT125">
        <v>948.38699999999994</v>
      </c>
      <c r="BU125">
        <v>1508.798</v>
      </c>
      <c r="BV125">
        <v>3243.145</v>
      </c>
      <c r="BW125">
        <v>3254.692</v>
      </c>
      <c r="BX125">
        <v>205.68700000000001</v>
      </c>
      <c r="BY125">
        <v>2715.8359999999998</v>
      </c>
      <c r="BZ125">
        <v>3750.44</v>
      </c>
      <c r="CA125">
        <v>3.92</v>
      </c>
      <c r="CB125">
        <v>5</v>
      </c>
      <c r="CC125">
        <v>2</v>
      </c>
      <c r="CD125">
        <v>2</v>
      </c>
      <c r="CE125">
        <v>3</v>
      </c>
      <c r="CF125">
        <v>2</v>
      </c>
    </row>
    <row r="126" spans="1:84" x14ac:dyDescent="0.35">
      <c r="A126" t="s">
        <v>391</v>
      </c>
      <c r="B126" t="str">
        <f t="shared" si="9"/>
        <v xml:space="preserve"> re_ma_2005_11_25_490</v>
      </c>
      <c r="C126" s="1">
        <f t="shared" si="8"/>
        <v>45761</v>
      </c>
      <c r="D126" t="s">
        <v>78</v>
      </c>
      <c r="E126">
        <v>175.96100000000001</v>
      </c>
      <c r="F126">
        <v>175.398</v>
      </c>
      <c r="G126">
        <v>2.6150000000000002</v>
      </c>
      <c r="H126">
        <v>164.55199999999999</v>
      </c>
      <c r="I126">
        <v>0.98862068965517247</v>
      </c>
      <c r="J126">
        <v>185.29400000000001</v>
      </c>
      <c r="K126">
        <v>1.6551724137931035E-2</v>
      </c>
      <c r="L126">
        <v>0.36799999999999999</v>
      </c>
      <c r="M126">
        <v>-25.768000000000001</v>
      </c>
      <c r="N126">
        <v>784.38</v>
      </c>
      <c r="O126">
        <v>801.81799999999998</v>
      </c>
      <c r="P126">
        <v>54.118000000000002</v>
      </c>
      <c r="Q126">
        <v>548.61199999999997</v>
      </c>
      <c r="R126">
        <v>886.22</v>
      </c>
      <c r="S126">
        <v>1142.287</v>
      </c>
      <c r="T126">
        <v>1139.4259999999999</v>
      </c>
      <c r="U126">
        <v>22.567</v>
      </c>
      <c r="V126">
        <v>1097.2249999999999</v>
      </c>
      <c r="W126">
        <v>1308.23</v>
      </c>
      <c r="X126">
        <v>3434.67</v>
      </c>
      <c r="Y126">
        <v>3460.4780000000001</v>
      </c>
      <c r="Z126">
        <v>141.79499999999999</v>
      </c>
      <c r="AA126">
        <v>2911.866</v>
      </c>
      <c r="AB126">
        <v>3713.6840000000002</v>
      </c>
      <c r="AC126">
        <v>2.9</v>
      </c>
      <c r="AD126">
        <v>187.80600000000001</v>
      </c>
      <c r="AE126">
        <v>187.43199999999999</v>
      </c>
      <c r="AF126">
        <v>3.194</v>
      </c>
      <c r="AG126">
        <v>169.33600000000001</v>
      </c>
      <c r="AH126">
        <v>0.98913043478260876</v>
      </c>
      <c r="AI126">
        <v>201.37</v>
      </c>
      <c r="AJ126">
        <v>0</v>
      </c>
      <c r="AK126">
        <v>0.50700000000000001</v>
      </c>
      <c r="AL126">
        <v>-26.497</v>
      </c>
      <c r="AM126">
        <v>370.10599999999999</v>
      </c>
      <c r="AN126">
        <v>357.447</v>
      </c>
      <c r="AO126">
        <v>20.218</v>
      </c>
      <c r="AP126">
        <v>357.447</v>
      </c>
      <c r="AQ126">
        <v>402.12799999999999</v>
      </c>
      <c r="AR126">
        <v>2594.2820000000002</v>
      </c>
      <c r="AS126">
        <v>2591.489</v>
      </c>
      <c r="AT126">
        <v>35.776000000000003</v>
      </c>
      <c r="AU126">
        <v>2502.1280000000002</v>
      </c>
      <c r="AV126">
        <v>2636.17</v>
      </c>
      <c r="AW126">
        <v>3874.4160000000002</v>
      </c>
      <c r="AX126">
        <v>3842.5529999999999</v>
      </c>
      <c r="AY126">
        <v>299.34199999999998</v>
      </c>
      <c r="AZ126">
        <v>3261.7020000000002</v>
      </c>
      <c r="BA126">
        <v>4557.4470000000001</v>
      </c>
      <c r="BB126">
        <v>2.76</v>
      </c>
      <c r="BC126">
        <v>192.887</v>
      </c>
      <c r="BD126">
        <v>192.697</v>
      </c>
      <c r="BE126">
        <v>2.117</v>
      </c>
      <c r="BF126">
        <v>181.58799999999999</v>
      </c>
      <c r="BG126">
        <v>0.98782894736842108</v>
      </c>
      <c r="BH126">
        <v>209.005</v>
      </c>
      <c r="BI126">
        <v>0</v>
      </c>
      <c r="BJ126">
        <v>0.435</v>
      </c>
      <c r="BK126">
        <v>-30.62</v>
      </c>
      <c r="BL126">
        <v>334.09100000000001</v>
      </c>
      <c r="BM126">
        <v>321.56299999999999</v>
      </c>
      <c r="BN126">
        <v>20.544</v>
      </c>
      <c r="BO126">
        <v>321.56299999999999</v>
      </c>
      <c r="BP126">
        <v>367.5</v>
      </c>
      <c r="BQ126">
        <v>1041.9459999999999</v>
      </c>
      <c r="BR126">
        <v>1010.625</v>
      </c>
      <c r="BS126">
        <v>79.421999999999997</v>
      </c>
      <c r="BT126">
        <v>964.68700000000001</v>
      </c>
      <c r="BU126">
        <v>1378.125</v>
      </c>
      <c r="BV126">
        <v>3849.096</v>
      </c>
      <c r="BW126">
        <v>3858.75</v>
      </c>
      <c r="BX126">
        <v>207.78399999999999</v>
      </c>
      <c r="BY126">
        <v>3399.375</v>
      </c>
      <c r="BZ126">
        <v>4364.0630000000001</v>
      </c>
      <c r="CA126">
        <v>3.04</v>
      </c>
      <c r="CB126">
        <v>4</v>
      </c>
      <c r="CC126">
        <v>1</v>
      </c>
      <c r="CD126">
        <v>2</v>
      </c>
      <c r="CE126">
        <v>4</v>
      </c>
      <c r="CF126">
        <v>0</v>
      </c>
    </row>
    <row r="127" spans="1:84" x14ac:dyDescent="0.35">
      <c r="A127" t="s">
        <v>392</v>
      </c>
      <c r="B127" t="str">
        <f t="shared" si="9"/>
        <v xml:space="preserve"> ro_br_1995_10_30_057</v>
      </c>
      <c r="C127" s="1">
        <f t="shared" si="8"/>
        <v>45761</v>
      </c>
      <c r="D127" t="s">
        <v>78</v>
      </c>
      <c r="E127">
        <v>177.58</v>
      </c>
      <c r="F127">
        <v>174.21</v>
      </c>
      <c r="G127">
        <v>15.968999999999999</v>
      </c>
      <c r="H127">
        <v>165.434</v>
      </c>
      <c r="I127">
        <v>0.99007633587786248</v>
      </c>
      <c r="J127">
        <v>274.39999999999998</v>
      </c>
      <c r="K127">
        <v>2.709923664122137E-2</v>
      </c>
      <c r="L127">
        <v>1.5880000000000001</v>
      </c>
      <c r="M127">
        <v>-22.702999999999999</v>
      </c>
      <c r="N127">
        <v>634.09500000000003</v>
      </c>
      <c r="O127">
        <v>593.654</v>
      </c>
      <c r="P127">
        <v>78.293000000000006</v>
      </c>
      <c r="Q127">
        <v>508.846</v>
      </c>
      <c r="R127">
        <v>848.077</v>
      </c>
      <c r="S127">
        <v>1207.739</v>
      </c>
      <c r="T127">
        <v>1187.308</v>
      </c>
      <c r="U127">
        <v>52.872999999999998</v>
      </c>
      <c r="V127">
        <v>1060.096</v>
      </c>
      <c r="W127">
        <v>1484.135</v>
      </c>
      <c r="X127">
        <v>2461.3510000000001</v>
      </c>
      <c r="Y127">
        <v>2459.4229999999998</v>
      </c>
      <c r="Z127">
        <v>174.73</v>
      </c>
      <c r="AA127">
        <v>2205</v>
      </c>
      <c r="AB127">
        <v>3604.3270000000002</v>
      </c>
      <c r="AC127">
        <v>2.62</v>
      </c>
      <c r="AD127">
        <v>173.602</v>
      </c>
      <c r="AE127">
        <v>173.232</v>
      </c>
      <c r="AF127">
        <v>6.202</v>
      </c>
      <c r="AG127">
        <v>119.977</v>
      </c>
      <c r="AH127">
        <v>0</v>
      </c>
      <c r="AI127">
        <v>187.88800000000001</v>
      </c>
      <c r="AJ127">
        <v>1.0683760683760686E-2</v>
      </c>
      <c r="AK127">
        <v>1.03</v>
      </c>
      <c r="AL127">
        <v>-26.36</v>
      </c>
      <c r="AM127">
        <v>329.459</v>
      </c>
      <c r="AN127">
        <v>330.33699999999999</v>
      </c>
      <c r="AO127">
        <v>5991</v>
      </c>
      <c r="AP127">
        <v>289.04500000000002</v>
      </c>
      <c r="AQ127">
        <v>330.33699999999999</v>
      </c>
      <c r="AR127">
        <v>2515.4259999999999</v>
      </c>
      <c r="AS127">
        <v>2518.8200000000002</v>
      </c>
      <c r="AT127">
        <v>40.570999999999998</v>
      </c>
      <c r="AU127">
        <v>2394.944</v>
      </c>
      <c r="AV127">
        <v>2601.404</v>
      </c>
      <c r="AW127">
        <v>3219.4830000000002</v>
      </c>
      <c r="AX127">
        <v>3220.7869999999998</v>
      </c>
      <c r="AY127">
        <v>108.992</v>
      </c>
      <c r="AZ127">
        <v>3014.326</v>
      </c>
      <c r="BA127">
        <v>3675</v>
      </c>
      <c r="BB127">
        <v>2.34</v>
      </c>
      <c r="BC127">
        <v>174.37</v>
      </c>
      <c r="BD127">
        <v>173.42699999999999</v>
      </c>
      <c r="BE127">
        <v>3.7519999999999998</v>
      </c>
      <c r="BF127">
        <v>170.083</v>
      </c>
      <c r="BG127">
        <v>0.98541666666666661</v>
      </c>
      <c r="BH127">
        <v>196</v>
      </c>
      <c r="BI127">
        <v>0</v>
      </c>
      <c r="BJ127">
        <v>0.46899999999999997</v>
      </c>
      <c r="BK127">
        <v>-28.831</v>
      </c>
      <c r="BL127">
        <v>365.14400000000001</v>
      </c>
      <c r="BM127">
        <v>375.85199999999998</v>
      </c>
      <c r="BN127">
        <v>19.547999999999998</v>
      </c>
      <c r="BO127">
        <v>334.09100000000001</v>
      </c>
      <c r="BP127">
        <v>417.61399999999998</v>
      </c>
      <c r="BQ127">
        <v>1077.443</v>
      </c>
      <c r="BR127">
        <v>1085.7950000000001</v>
      </c>
      <c r="BS127">
        <v>39.573</v>
      </c>
      <c r="BT127">
        <v>1044.0340000000001</v>
      </c>
      <c r="BU127">
        <v>1252.8409999999999</v>
      </c>
      <c r="BV127">
        <v>3593.0630000000001</v>
      </c>
      <c r="BW127">
        <v>3633.239</v>
      </c>
      <c r="BX127">
        <v>134.31800000000001</v>
      </c>
      <c r="BY127">
        <v>2839.7730000000001</v>
      </c>
      <c r="BZ127">
        <v>3800.2840000000001</v>
      </c>
      <c r="CA127">
        <v>1.92</v>
      </c>
      <c r="CB127">
        <v>5</v>
      </c>
      <c r="CC127">
        <v>0</v>
      </c>
      <c r="CD127">
        <v>0</v>
      </c>
      <c r="CE127">
        <v>1</v>
      </c>
      <c r="CF127">
        <v>0</v>
      </c>
    </row>
    <row r="128" spans="1:84" x14ac:dyDescent="0.35">
      <c r="A128" t="s">
        <v>393</v>
      </c>
      <c r="B128" t="str">
        <f t="shared" si="9"/>
        <v xml:space="preserve"> sa_ol_2004_06_21_909</v>
      </c>
      <c r="C128" s="1">
        <f t="shared" si="8"/>
        <v>45761</v>
      </c>
      <c r="D128" t="s">
        <v>78</v>
      </c>
      <c r="E128">
        <v>198.90700000000001</v>
      </c>
      <c r="F128">
        <v>199.80600000000001</v>
      </c>
      <c r="G128">
        <v>10.355</v>
      </c>
      <c r="H128">
        <v>102.9</v>
      </c>
      <c r="I128">
        <v>1.1580882352941175E-2</v>
      </c>
      <c r="J128">
        <v>247.75299999999999</v>
      </c>
      <c r="K128">
        <v>0</v>
      </c>
      <c r="L128">
        <v>1.093</v>
      </c>
      <c r="M128">
        <v>-26.312000000000001</v>
      </c>
      <c r="N128">
        <v>712.64499999999998</v>
      </c>
      <c r="O128">
        <v>722.16200000000003</v>
      </c>
      <c r="P128">
        <v>46.807000000000002</v>
      </c>
      <c r="Q128">
        <v>433.29700000000003</v>
      </c>
      <c r="R128">
        <v>866.59400000000005</v>
      </c>
      <c r="S128">
        <v>1227.675</v>
      </c>
      <c r="T128">
        <v>1251.7470000000001</v>
      </c>
      <c r="U128">
        <v>68.02</v>
      </c>
      <c r="V128">
        <v>1011.026</v>
      </c>
      <c r="W128">
        <v>1348.0350000000001</v>
      </c>
      <c r="X128">
        <v>3166.2159999999999</v>
      </c>
      <c r="Y128">
        <v>3177.511</v>
      </c>
      <c r="Z128">
        <v>131.10599999999999</v>
      </c>
      <c r="AA128">
        <v>2744.2139999999999</v>
      </c>
      <c r="AB128">
        <v>3514.52</v>
      </c>
      <c r="AC128">
        <v>5.44</v>
      </c>
      <c r="AD128">
        <v>200.44300000000001</v>
      </c>
      <c r="AE128">
        <v>201.501</v>
      </c>
      <c r="AF128">
        <v>13.772</v>
      </c>
      <c r="AG128">
        <v>97.628</v>
      </c>
      <c r="AH128">
        <v>0</v>
      </c>
      <c r="AI128">
        <v>285.30500000000001</v>
      </c>
      <c r="AJ128">
        <v>4.2338709677419359E-3</v>
      </c>
      <c r="AK128">
        <v>1.726</v>
      </c>
      <c r="AL128">
        <v>-28.315000000000001</v>
      </c>
      <c r="AM128">
        <v>340.68</v>
      </c>
      <c r="AN128">
        <v>339.23099999999999</v>
      </c>
      <c r="AO128">
        <v>9413</v>
      </c>
      <c r="AP128">
        <v>290.76900000000001</v>
      </c>
      <c r="AQ128">
        <v>387.69200000000001</v>
      </c>
      <c r="AR128">
        <v>2483.5210000000002</v>
      </c>
      <c r="AS128">
        <v>2520</v>
      </c>
      <c r="AT128">
        <v>67.376999999999995</v>
      </c>
      <c r="AU128">
        <v>2229.2310000000002</v>
      </c>
      <c r="AV128">
        <v>2568.462</v>
      </c>
      <c r="AW128">
        <v>3334.5189999999998</v>
      </c>
      <c r="AX128">
        <v>3343.846</v>
      </c>
      <c r="AY128">
        <v>174.31100000000001</v>
      </c>
      <c r="AZ128">
        <v>2956.154</v>
      </c>
      <c r="BA128">
        <v>4022.308</v>
      </c>
      <c r="BB128">
        <v>4.96</v>
      </c>
      <c r="BC128">
        <v>200.023</v>
      </c>
      <c r="BD128">
        <v>200.19499999999999</v>
      </c>
      <c r="BE128">
        <v>14.241</v>
      </c>
      <c r="BF128">
        <v>104.255</v>
      </c>
      <c r="BG128">
        <v>7.8947368421052634E-3</v>
      </c>
      <c r="BH128">
        <v>347.24400000000003</v>
      </c>
      <c r="BI128">
        <v>3.9473684210526317E-3</v>
      </c>
      <c r="BJ128">
        <v>1.2649999999999999</v>
      </c>
      <c r="BK128">
        <v>-31.626000000000001</v>
      </c>
      <c r="BL128">
        <v>384.012</v>
      </c>
      <c r="BM128">
        <v>383.06200000000001</v>
      </c>
      <c r="BN128">
        <v>21.562999999999999</v>
      </c>
      <c r="BO128">
        <v>335.17899999999997</v>
      </c>
      <c r="BP128">
        <v>718.24099999999999</v>
      </c>
      <c r="BQ128">
        <v>1031.231</v>
      </c>
      <c r="BR128">
        <v>1005.537</v>
      </c>
      <c r="BS128">
        <v>112.345</v>
      </c>
      <c r="BT128">
        <v>1005.537</v>
      </c>
      <c r="BU128">
        <v>1723.779</v>
      </c>
      <c r="BV128">
        <v>3816.9920000000002</v>
      </c>
      <c r="BW128">
        <v>3830.6190000000001</v>
      </c>
      <c r="BX128">
        <v>194.95599999999999</v>
      </c>
      <c r="BY128">
        <v>3064.4949999999999</v>
      </c>
      <c r="BZ128">
        <v>4165.7979999999998</v>
      </c>
      <c r="CA128">
        <v>5.32</v>
      </c>
      <c r="CB128">
        <v>9</v>
      </c>
      <c r="CC128">
        <v>0</v>
      </c>
      <c r="CD128">
        <v>0</v>
      </c>
      <c r="CE128">
        <v>6</v>
      </c>
      <c r="CF128">
        <v>4</v>
      </c>
    </row>
    <row r="129" spans="1:84" x14ac:dyDescent="0.35">
      <c r="A129" t="s">
        <v>394</v>
      </c>
      <c r="B129" t="str">
        <f t="shared" si="9"/>
        <v xml:space="preserve"> sa_pa_2005_06_03_918</v>
      </c>
      <c r="C129" s="1">
        <f t="shared" si="8"/>
        <v>45761</v>
      </c>
      <c r="D129" t="s">
        <v>78</v>
      </c>
      <c r="E129">
        <v>200.75299999999999</v>
      </c>
      <c r="F129">
        <v>200.065</v>
      </c>
      <c r="G129">
        <v>5.6740000000000004</v>
      </c>
      <c r="H129">
        <v>194.64099999999999</v>
      </c>
      <c r="I129">
        <v>0.90965517241379312</v>
      </c>
      <c r="J129">
        <v>245.78</v>
      </c>
      <c r="K129">
        <v>0</v>
      </c>
      <c r="L129">
        <v>0.52700000000000002</v>
      </c>
      <c r="M129">
        <v>-27.315999999999999</v>
      </c>
      <c r="N129">
        <v>723.08799999999997</v>
      </c>
      <c r="O129">
        <v>726.923</v>
      </c>
      <c r="P129">
        <v>64.456999999999994</v>
      </c>
      <c r="Q129">
        <v>484.61500000000001</v>
      </c>
      <c r="R129">
        <v>920.76900000000001</v>
      </c>
      <c r="S129">
        <v>1183.6110000000001</v>
      </c>
      <c r="T129">
        <v>1211.538</v>
      </c>
      <c r="U129">
        <v>55.744999999999997</v>
      </c>
      <c r="V129">
        <v>1066.154</v>
      </c>
      <c r="W129">
        <v>1356.923</v>
      </c>
      <c r="X129">
        <v>2786.364</v>
      </c>
      <c r="Y129">
        <v>2810.7689999999998</v>
      </c>
      <c r="Z129">
        <v>189.17</v>
      </c>
      <c r="AA129">
        <v>2374.6149999999998</v>
      </c>
      <c r="AB129">
        <v>4022.308</v>
      </c>
      <c r="AC129">
        <v>2.9</v>
      </c>
      <c r="AD129">
        <v>215.249</v>
      </c>
      <c r="AE129">
        <v>213.929</v>
      </c>
      <c r="AF129">
        <v>5.3019999999999996</v>
      </c>
      <c r="AG129">
        <v>209.715</v>
      </c>
      <c r="AH129">
        <v>0.95641025641025634</v>
      </c>
      <c r="AI129">
        <v>257.89499999999998</v>
      </c>
      <c r="AJ129">
        <v>0</v>
      </c>
      <c r="AK129">
        <v>0.42599999999999999</v>
      </c>
      <c r="AL129">
        <v>-28.382999999999999</v>
      </c>
      <c r="AM129">
        <v>370.42200000000003</v>
      </c>
      <c r="AN129">
        <v>363.60399999999998</v>
      </c>
      <c r="AO129">
        <v>22.654</v>
      </c>
      <c r="AP129">
        <v>311.661</v>
      </c>
      <c r="AQ129">
        <v>415.548</v>
      </c>
      <c r="AR129">
        <v>2375.9319999999998</v>
      </c>
      <c r="AS129">
        <v>2389.3989999999999</v>
      </c>
      <c r="AT129">
        <v>116.121</v>
      </c>
      <c r="AU129">
        <v>2129.6819999999998</v>
      </c>
      <c r="AV129">
        <v>2597.1729999999998</v>
      </c>
      <c r="AW129">
        <v>3951.924</v>
      </c>
      <c r="AX129">
        <v>3947.703</v>
      </c>
      <c r="AY129">
        <v>162.07300000000001</v>
      </c>
      <c r="AZ129">
        <v>3324.3820000000001</v>
      </c>
      <c r="BA129">
        <v>4363.2510000000002</v>
      </c>
      <c r="BB129">
        <v>3.12</v>
      </c>
      <c r="BC129">
        <v>212.25399999999999</v>
      </c>
      <c r="BD129">
        <v>211.874</v>
      </c>
      <c r="BE129">
        <v>2.8839999999999999</v>
      </c>
      <c r="BF129">
        <v>204.84399999999999</v>
      </c>
      <c r="BG129">
        <v>3.4502923976608188E-2</v>
      </c>
      <c r="BH129">
        <v>232.10499999999999</v>
      </c>
      <c r="BI129">
        <v>0.99795321637426893</v>
      </c>
      <c r="BJ129">
        <v>0.35199999999999998</v>
      </c>
      <c r="BK129">
        <v>-31.111999999999998</v>
      </c>
      <c r="BL129">
        <v>454.14400000000001</v>
      </c>
      <c r="BM129">
        <v>461.512</v>
      </c>
      <c r="BN129">
        <v>36.450000000000003</v>
      </c>
      <c r="BO129">
        <v>358.95299999999997</v>
      </c>
      <c r="BP129">
        <v>564.07000000000005</v>
      </c>
      <c r="BQ129">
        <v>975.65200000000004</v>
      </c>
      <c r="BR129">
        <v>974.30200000000002</v>
      </c>
      <c r="BS129">
        <v>14.44</v>
      </c>
      <c r="BT129">
        <v>923.02300000000002</v>
      </c>
      <c r="BU129">
        <v>1076.8599999999999</v>
      </c>
      <c r="BV129">
        <v>4166.5720000000001</v>
      </c>
      <c r="BW129">
        <v>4204.884</v>
      </c>
      <c r="BX129">
        <v>152.142</v>
      </c>
      <c r="BY129">
        <v>3743.3719999999998</v>
      </c>
      <c r="BZ129">
        <v>4563.8370000000004</v>
      </c>
      <c r="CA129">
        <v>3.42</v>
      </c>
      <c r="CB129">
        <v>7</v>
      </c>
      <c r="CC129">
        <v>1</v>
      </c>
      <c r="CD129">
        <v>0</v>
      </c>
      <c r="CE129">
        <v>4</v>
      </c>
      <c r="CF129">
        <v>5</v>
      </c>
    </row>
    <row r="130" spans="1:84" x14ac:dyDescent="0.35">
      <c r="A130" t="s">
        <v>274</v>
      </c>
      <c r="B130" t="str">
        <f t="shared" si="9"/>
        <v xml:space="preserve"> se_co_1998_04_24_910</v>
      </c>
      <c r="C130" s="1">
        <f t="shared" ref="C130:C142" si="10">DATEVALUE(SUBSTITUTE(_xlfn.TEXTAFTER(_xlfn.TEXTBEFORE(A130," -"),"a2_"),"_","/"))</f>
        <v>45789</v>
      </c>
      <c r="D130" t="s">
        <v>78</v>
      </c>
      <c r="E130">
        <v>190.917</v>
      </c>
      <c r="F130">
        <v>190.321</v>
      </c>
      <c r="G130">
        <v>3.2709999999999999</v>
      </c>
      <c r="H130">
        <v>176.804</v>
      </c>
      <c r="I130">
        <v>1.3207547169811321E-2</v>
      </c>
      <c r="J130">
        <v>199.67699999999999</v>
      </c>
      <c r="K130">
        <v>0.99968553459119491</v>
      </c>
      <c r="L130">
        <v>0.48199999999999998</v>
      </c>
      <c r="M130">
        <v>-19.207000000000001</v>
      </c>
      <c r="N130">
        <v>874.72900000000004</v>
      </c>
      <c r="O130">
        <v>866.49400000000003</v>
      </c>
      <c r="P130">
        <v>70.042000000000002</v>
      </c>
      <c r="Q130">
        <v>638.46900000000005</v>
      </c>
      <c r="R130">
        <v>1048.914</v>
      </c>
      <c r="S130">
        <v>1141.7080000000001</v>
      </c>
      <c r="T130">
        <v>1140.124</v>
      </c>
      <c r="U130">
        <v>43.286000000000001</v>
      </c>
      <c r="V130">
        <v>1048.914</v>
      </c>
      <c r="W130">
        <v>1276.9390000000001</v>
      </c>
      <c r="X130">
        <v>3264.8719999999998</v>
      </c>
      <c r="Y130">
        <v>3374.7669999999998</v>
      </c>
      <c r="Z130">
        <v>372.00099999999998</v>
      </c>
      <c r="AA130">
        <v>2325.8530000000001</v>
      </c>
      <c r="AB130">
        <v>4150.0519999999997</v>
      </c>
      <c r="AC130">
        <v>3.18</v>
      </c>
      <c r="AD130">
        <v>200.45400000000001</v>
      </c>
      <c r="AE130">
        <v>198.13900000000001</v>
      </c>
      <c r="AF130">
        <v>10.212999999999999</v>
      </c>
      <c r="AG130">
        <v>193.542</v>
      </c>
      <c r="AH130">
        <v>0.69892857142857145</v>
      </c>
      <c r="AI130">
        <v>279.87299999999999</v>
      </c>
      <c r="AJ130">
        <v>0</v>
      </c>
      <c r="AK130">
        <v>0.56100000000000005</v>
      </c>
      <c r="AL130">
        <v>-28.123000000000001</v>
      </c>
      <c r="AM130">
        <v>338.48</v>
      </c>
      <c r="AN130">
        <v>338.858</v>
      </c>
      <c r="AO130">
        <v>20.597000000000001</v>
      </c>
      <c r="AP130">
        <v>290.45</v>
      </c>
      <c r="AQ130">
        <v>435.67500000000001</v>
      </c>
      <c r="AR130">
        <v>2125.9630000000002</v>
      </c>
      <c r="AS130">
        <v>2129.9670000000001</v>
      </c>
      <c r="AT130">
        <v>105.42700000000001</v>
      </c>
      <c r="AU130">
        <v>1549.067</v>
      </c>
      <c r="AV130">
        <v>2275.192</v>
      </c>
      <c r="AW130">
        <v>3547.8980000000001</v>
      </c>
      <c r="AX130">
        <v>3533.8090000000002</v>
      </c>
      <c r="AY130">
        <v>156.02500000000001</v>
      </c>
      <c r="AZ130">
        <v>2856.0920000000001</v>
      </c>
      <c r="BA130">
        <v>3775.8510000000001</v>
      </c>
      <c r="BB130">
        <v>2.8</v>
      </c>
      <c r="BC130">
        <v>207.36799999999999</v>
      </c>
      <c r="BD130">
        <v>206.834</v>
      </c>
      <c r="BE130">
        <v>16.852</v>
      </c>
      <c r="BF130">
        <v>104.893</v>
      </c>
      <c r="BG130">
        <v>1.5267175572519083E-2</v>
      </c>
      <c r="BH130">
        <v>298.54899999999998</v>
      </c>
      <c r="BI130">
        <v>0</v>
      </c>
      <c r="BJ130">
        <v>2.177</v>
      </c>
      <c r="BK130">
        <v>-25.869</v>
      </c>
      <c r="BL130">
        <v>402.46300000000002</v>
      </c>
      <c r="BM130">
        <v>400.90899999999999</v>
      </c>
      <c r="BN130">
        <v>16.5</v>
      </c>
      <c r="BO130">
        <v>350.79500000000002</v>
      </c>
      <c r="BP130">
        <v>551.25</v>
      </c>
      <c r="BQ130">
        <v>1215.2560000000001</v>
      </c>
      <c r="BR130">
        <v>1252.8409999999999</v>
      </c>
      <c r="BS130">
        <v>170.55799999999999</v>
      </c>
      <c r="BT130">
        <v>1002.273</v>
      </c>
      <c r="BU130">
        <v>1353.068</v>
      </c>
      <c r="BV130">
        <v>3489.451</v>
      </c>
      <c r="BW130">
        <v>3507.9549999999999</v>
      </c>
      <c r="BX130">
        <v>91.524000000000001</v>
      </c>
      <c r="BY130">
        <v>3006.8180000000002</v>
      </c>
      <c r="BZ130">
        <v>3708.4090000000001</v>
      </c>
      <c r="CA130">
        <v>2.62</v>
      </c>
      <c r="CB130">
        <v>1</v>
      </c>
      <c r="CC130">
        <v>1</v>
      </c>
      <c r="CD130">
        <v>0</v>
      </c>
      <c r="CE130">
        <v>1</v>
      </c>
      <c r="CF130">
        <v>0</v>
      </c>
    </row>
    <row r="131" spans="1:84" x14ac:dyDescent="0.35">
      <c r="A131" t="s">
        <v>395</v>
      </c>
      <c r="B131" t="str">
        <f t="shared" si="9"/>
        <v xml:space="preserve"> si_co_2002_08_13_884</v>
      </c>
      <c r="C131" s="1">
        <f t="shared" si="10"/>
        <v>45761</v>
      </c>
      <c r="D131" t="s">
        <v>78</v>
      </c>
      <c r="E131">
        <v>189.47300000000001</v>
      </c>
      <c r="F131">
        <v>191.02699999999999</v>
      </c>
      <c r="G131">
        <v>19.146999999999998</v>
      </c>
      <c r="H131">
        <v>96.802000000000007</v>
      </c>
      <c r="I131">
        <v>0.9596385542168675</v>
      </c>
      <c r="J131">
        <v>246.369</v>
      </c>
      <c r="K131">
        <v>0</v>
      </c>
      <c r="L131">
        <v>2.2970000000000002</v>
      </c>
      <c r="M131">
        <v>-28.359000000000002</v>
      </c>
      <c r="N131">
        <v>341.24400000000003</v>
      </c>
      <c r="O131">
        <v>361.47500000000002</v>
      </c>
      <c r="P131">
        <v>22.638000000000002</v>
      </c>
      <c r="Q131">
        <v>316.291</v>
      </c>
      <c r="R131">
        <v>361.47500000000002</v>
      </c>
      <c r="S131">
        <v>2476.2339999999999</v>
      </c>
      <c r="T131">
        <v>2485.143</v>
      </c>
      <c r="U131">
        <v>83.881</v>
      </c>
      <c r="V131">
        <v>2214.0369999999998</v>
      </c>
      <c r="W131">
        <v>2620.6970000000001</v>
      </c>
      <c r="X131">
        <v>3509.7310000000002</v>
      </c>
      <c r="Y131">
        <v>3524.3850000000002</v>
      </c>
      <c r="Z131">
        <v>211.816</v>
      </c>
      <c r="AA131">
        <v>3117.7249999999999</v>
      </c>
      <c r="AB131">
        <v>4066.598</v>
      </c>
      <c r="AC131">
        <v>1.66</v>
      </c>
      <c r="AD131">
        <v>192.81100000000001</v>
      </c>
      <c r="AE131">
        <v>191.14599999999999</v>
      </c>
      <c r="AF131">
        <v>9.2859999999999996</v>
      </c>
      <c r="AG131">
        <v>185.964</v>
      </c>
      <c r="AH131">
        <v>0.43165137614678895</v>
      </c>
      <c r="AI131">
        <v>249.55500000000001</v>
      </c>
      <c r="AJ131">
        <v>0</v>
      </c>
      <c r="AK131">
        <v>0.59199999999999997</v>
      </c>
      <c r="AL131">
        <v>-30.327999999999999</v>
      </c>
      <c r="AM131">
        <v>322.32400000000001</v>
      </c>
      <c r="AN131">
        <v>322.90800000000002</v>
      </c>
      <c r="AO131">
        <v>9028</v>
      </c>
      <c r="AP131">
        <v>276.77800000000002</v>
      </c>
      <c r="AQ131">
        <v>369.03800000000001</v>
      </c>
      <c r="AR131">
        <v>2556.904</v>
      </c>
      <c r="AS131">
        <v>2583.2640000000001</v>
      </c>
      <c r="AT131">
        <v>73.162999999999997</v>
      </c>
      <c r="AU131">
        <v>1937.4480000000001</v>
      </c>
      <c r="AV131">
        <v>2629.393</v>
      </c>
      <c r="AW131">
        <v>3162.9140000000002</v>
      </c>
      <c r="AX131">
        <v>3136.82</v>
      </c>
      <c r="AY131">
        <v>180.733</v>
      </c>
      <c r="AZ131">
        <v>2860.0419999999999</v>
      </c>
      <c r="BA131">
        <v>4105.5439999999999</v>
      </c>
      <c r="BB131">
        <v>2.1800000000000002</v>
      </c>
      <c r="BC131">
        <v>194.28800000000001</v>
      </c>
      <c r="BD131">
        <v>191.14599999999999</v>
      </c>
      <c r="BE131">
        <v>13.205</v>
      </c>
      <c r="BF131">
        <v>163.333</v>
      </c>
      <c r="BG131">
        <v>0.98347457627118662</v>
      </c>
      <c r="BH131">
        <v>282.69200000000001</v>
      </c>
      <c r="BI131">
        <v>0</v>
      </c>
      <c r="BJ131">
        <v>0.755</v>
      </c>
      <c r="BK131">
        <v>-29.538</v>
      </c>
      <c r="BL131">
        <v>336.22399999999999</v>
      </c>
      <c r="BM131">
        <v>322.90800000000002</v>
      </c>
      <c r="BN131">
        <v>22.041</v>
      </c>
      <c r="BO131">
        <v>276.77800000000002</v>
      </c>
      <c r="BP131">
        <v>369.03800000000001</v>
      </c>
      <c r="BQ131">
        <v>2541.4450000000002</v>
      </c>
      <c r="BR131">
        <v>2537.134</v>
      </c>
      <c r="BS131">
        <v>70.994</v>
      </c>
      <c r="BT131">
        <v>1937.4480000000001</v>
      </c>
      <c r="BU131">
        <v>2629.393</v>
      </c>
      <c r="BV131">
        <v>3191.1410000000001</v>
      </c>
      <c r="BW131">
        <v>3182.95</v>
      </c>
      <c r="BX131">
        <v>115.074</v>
      </c>
      <c r="BY131">
        <v>2860.0419999999999</v>
      </c>
      <c r="BZ131">
        <v>3505.8580000000002</v>
      </c>
      <c r="CA131">
        <v>2.36</v>
      </c>
      <c r="CB131">
        <v>4</v>
      </c>
      <c r="CC131">
        <v>3</v>
      </c>
      <c r="CD131">
        <v>0</v>
      </c>
      <c r="CE131">
        <v>0</v>
      </c>
      <c r="CF131">
        <v>0</v>
      </c>
    </row>
    <row r="132" spans="1:84" x14ac:dyDescent="0.35">
      <c r="A132" t="s">
        <v>396</v>
      </c>
      <c r="B132" t="str">
        <f t="shared" si="9"/>
        <v xml:space="preserve"> so_fa_1999_11_16_426</v>
      </c>
      <c r="C132" s="1">
        <f t="shared" si="10"/>
        <v>45761</v>
      </c>
      <c r="D132" t="s">
        <v>78</v>
      </c>
      <c r="E132">
        <v>172.57599999999999</v>
      </c>
      <c r="F132">
        <v>172.65100000000001</v>
      </c>
      <c r="G132">
        <v>2.4460000000000002</v>
      </c>
      <c r="H132">
        <v>166.32499999999999</v>
      </c>
      <c r="I132">
        <v>0.15642857142857144</v>
      </c>
      <c r="J132">
        <v>184.51900000000001</v>
      </c>
      <c r="K132">
        <v>0.97500000000000009</v>
      </c>
      <c r="L132">
        <v>0.57299999999999995</v>
      </c>
      <c r="M132">
        <v>-28.274000000000001</v>
      </c>
      <c r="N132">
        <v>674.77599999999995</v>
      </c>
      <c r="O132">
        <v>668.18200000000002</v>
      </c>
      <c r="P132">
        <v>84.186999999999998</v>
      </c>
      <c r="Q132">
        <v>501.13600000000002</v>
      </c>
      <c r="R132">
        <v>918.75</v>
      </c>
      <c r="S132">
        <v>1145.1410000000001</v>
      </c>
      <c r="T132">
        <v>1127.557</v>
      </c>
      <c r="U132">
        <v>47.972000000000001</v>
      </c>
      <c r="V132">
        <v>1044.0340000000001</v>
      </c>
      <c r="W132">
        <v>1419.886</v>
      </c>
      <c r="X132">
        <v>2757.7150000000001</v>
      </c>
      <c r="Y132">
        <v>2756.25</v>
      </c>
      <c r="Z132">
        <v>216.85</v>
      </c>
      <c r="AA132">
        <v>2422.1590000000001</v>
      </c>
      <c r="AB132">
        <v>3340.9090000000001</v>
      </c>
      <c r="AC132">
        <v>1.4</v>
      </c>
      <c r="AD132">
        <v>177.63399999999999</v>
      </c>
      <c r="AE132">
        <v>175.797</v>
      </c>
      <c r="AF132">
        <v>17.056999999999999</v>
      </c>
      <c r="AG132">
        <v>103.869</v>
      </c>
      <c r="AH132">
        <v>0</v>
      </c>
      <c r="AI132">
        <v>282.69200000000001</v>
      </c>
      <c r="AJ132">
        <v>1.5789473684210527E-2</v>
      </c>
      <c r="AK132">
        <v>2.7360000000000002</v>
      </c>
      <c r="AL132">
        <v>-28.803999999999998</v>
      </c>
      <c r="AM132">
        <v>338.84</v>
      </c>
      <c r="AN132">
        <v>340.21199999999999</v>
      </c>
      <c r="AO132">
        <v>7575</v>
      </c>
      <c r="AP132">
        <v>297.68599999999998</v>
      </c>
      <c r="AQ132">
        <v>340.21199999999999</v>
      </c>
      <c r="AR132">
        <v>2381.4850000000001</v>
      </c>
      <c r="AS132">
        <v>2381.4850000000001</v>
      </c>
      <c r="AT132">
        <v>0</v>
      </c>
      <c r="AU132">
        <v>2381.4850000000001</v>
      </c>
      <c r="AV132">
        <v>2381.4850000000001</v>
      </c>
      <c r="AW132">
        <v>3871.2629999999999</v>
      </c>
      <c r="AX132">
        <v>3912.44</v>
      </c>
      <c r="AY132">
        <v>216.30099999999999</v>
      </c>
      <c r="AZ132">
        <v>3019.3829999999998</v>
      </c>
      <c r="BA132">
        <v>4380.2309999999998</v>
      </c>
      <c r="BB132">
        <v>1.52</v>
      </c>
      <c r="BC132">
        <v>178.04900000000001</v>
      </c>
      <c r="BD132">
        <v>178.54300000000001</v>
      </c>
      <c r="BE132">
        <v>18.024000000000001</v>
      </c>
      <c r="BF132">
        <v>104.68</v>
      </c>
      <c r="BG132">
        <v>4.7368421052631574E-2</v>
      </c>
      <c r="BH132">
        <v>249.55500000000001</v>
      </c>
      <c r="BI132">
        <v>0</v>
      </c>
      <c r="BJ132">
        <v>3.2450000000000001</v>
      </c>
      <c r="BK132">
        <v>-27.768999999999998</v>
      </c>
      <c r="BL132">
        <v>387.54</v>
      </c>
      <c r="BM132">
        <v>382.73899999999998</v>
      </c>
      <c r="BN132">
        <v>19.026</v>
      </c>
      <c r="BO132">
        <v>297.68599999999998</v>
      </c>
      <c r="BP132">
        <v>425.26499999999999</v>
      </c>
      <c r="BQ132">
        <v>1126.953</v>
      </c>
      <c r="BR132">
        <v>999.37300000000005</v>
      </c>
      <c r="BS132">
        <v>270.08</v>
      </c>
      <c r="BT132">
        <v>978.11</v>
      </c>
      <c r="BU132">
        <v>1530.9549999999999</v>
      </c>
      <c r="BV132">
        <v>3494.6</v>
      </c>
      <c r="BW132">
        <v>3487.1750000000002</v>
      </c>
      <c r="BX132">
        <v>167.608</v>
      </c>
      <c r="BY132">
        <v>2849.277</v>
      </c>
      <c r="BZ132">
        <v>3954.9659999999999</v>
      </c>
      <c r="CA132">
        <v>1.52</v>
      </c>
      <c r="CB132">
        <v>6</v>
      </c>
      <c r="CC132">
        <v>0</v>
      </c>
      <c r="CD132">
        <v>0</v>
      </c>
      <c r="CE132">
        <v>2</v>
      </c>
      <c r="CF132">
        <v>0</v>
      </c>
    </row>
    <row r="133" spans="1:84" x14ac:dyDescent="0.35">
      <c r="A133" t="s">
        <v>397</v>
      </c>
      <c r="B133" t="str">
        <f t="shared" si="9"/>
        <v xml:space="preserve"> so_nu_2005_03_11_255</v>
      </c>
      <c r="C133" s="1">
        <f t="shared" si="10"/>
        <v>45761</v>
      </c>
      <c r="D133" t="s">
        <v>78</v>
      </c>
      <c r="E133">
        <v>181.357</v>
      </c>
      <c r="F133">
        <v>180.95</v>
      </c>
      <c r="G133">
        <v>1.9370000000000001</v>
      </c>
      <c r="H133">
        <v>175.19900000000001</v>
      </c>
      <c r="I133">
        <v>0.99489795918367352</v>
      </c>
      <c r="J133">
        <v>191.02699999999999</v>
      </c>
      <c r="K133">
        <v>1.0969387755102041E-2</v>
      </c>
      <c r="L133">
        <v>0.36399999999999999</v>
      </c>
      <c r="M133">
        <v>-23.256</v>
      </c>
      <c r="N133">
        <v>818.39</v>
      </c>
      <c r="O133">
        <v>822.27700000000004</v>
      </c>
      <c r="P133">
        <v>74.933000000000007</v>
      </c>
      <c r="Q133">
        <v>476.05500000000001</v>
      </c>
      <c r="R133">
        <v>1125.221</v>
      </c>
      <c r="S133">
        <v>1153.8150000000001</v>
      </c>
      <c r="T133">
        <v>1168.499</v>
      </c>
      <c r="U133">
        <v>36.634</v>
      </c>
      <c r="V133">
        <v>1081.943</v>
      </c>
      <c r="W133">
        <v>1341.6089999999999</v>
      </c>
      <c r="X133">
        <v>3097.9639999999999</v>
      </c>
      <c r="Y133">
        <v>3115.9960000000001</v>
      </c>
      <c r="Z133">
        <v>156.321</v>
      </c>
      <c r="AA133">
        <v>2466.83</v>
      </c>
      <c r="AB133">
        <v>3462.2179999999998</v>
      </c>
      <c r="AC133">
        <v>3.92</v>
      </c>
      <c r="AD133">
        <v>185.88499999999999</v>
      </c>
      <c r="AE133">
        <v>185.18299999999999</v>
      </c>
      <c r="AF133">
        <v>8.6050000000000004</v>
      </c>
      <c r="AG133">
        <v>109.158</v>
      </c>
      <c r="AH133">
        <v>1.2362637362637362E-2</v>
      </c>
      <c r="AI133">
        <v>221.92699999999999</v>
      </c>
      <c r="AJ133">
        <v>0</v>
      </c>
      <c r="AK133">
        <v>1.542</v>
      </c>
      <c r="AL133">
        <v>-29.33</v>
      </c>
      <c r="AM133">
        <v>356.36099999999999</v>
      </c>
      <c r="AN133">
        <v>354.93</v>
      </c>
      <c r="AO133">
        <v>14.670999999999999</v>
      </c>
      <c r="AP133">
        <v>354.93</v>
      </c>
      <c r="AQ133">
        <v>532.39400000000001</v>
      </c>
      <c r="AR133">
        <v>2148.5920000000001</v>
      </c>
      <c r="AS133">
        <v>2218.31</v>
      </c>
      <c r="AT133">
        <v>418.43799999999999</v>
      </c>
      <c r="AU133">
        <v>1419.7180000000001</v>
      </c>
      <c r="AV133">
        <v>2617.6060000000002</v>
      </c>
      <c r="AW133">
        <v>3193.5340000000001</v>
      </c>
      <c r="AX133">
        <v>3194.366</v>
      </c>
      <c r="AY133">
        <v>197.941</v>
      </c>
      <c r="AZ133">
        <v>2440.1410000000001</v>
      </c>
      <c r="BA133">
        <v>3859.8589999999999</v>
      </c>
      <c r="BB133">
        <v>3.64</v>
      </c>
      <c r="BC133">
        <v>184.096</v>
      </c>
      <c r="BD133">
        <v>181.69499999999999</v>
      </c>
      <c r="BE133">
        <v>6.3470000000000004</v>
      </c>
      <c r="BF133">
        <v>170.74100000000001</v>
      </c>
      <c r="BG133">
        <v>0.99478103017926034</v>
      </c>
      <c r="BH133">
        <v>216.63200000000001</v>
      </c>
      <c r="BI133">
        <v>9.0764692534604039E-3</v>
      </c>
      <c r="BJ133">
        <v>0.34899999999999998</v>
      </c>
      <c r="BK133">
        <v>-31.038</v>
      </c>
      <c r="BL133">
        <v>350.23099999999999</v>
      </c>
      <c r="BM133">
        <v>350</v>
      </c>
      <c r="BN133">
        <v>10.58</v>
      </c>
      <c r="BO133">
        <v>306.25</v>
      </c>
      <c r="BP133">
        <v>393.75</v>
      </c>
      <c r="BQ133">
        <v>1102.163</v>
      </c>
      <c r="BR133">
        <v>1093.75</v>
      </c>
      <c r="BS133">
        <v>65.432000000000002</v>
      </c>
      <c r="BT133">
        <v>1006.25</v>
      </c>
      <c r="BU133">
        <v>1487.5</v>
      </c>
      <c r="BV133">
        <v>3516.4920000000002</v>
      </c>
      <c r="BW133">
        <v>3500</v>
      </c>
      <c r="BX133">
        <v>162.42699999999999</v>
      </c>
      <c r="BY133">
        <v>2887.5</v>
      </c>
      <c r="BZ133">
        <v>3937.5</v>
      </c>
      <c r="CA133">
        <v>4.407</v>
      </c>
      <c r="CB133">
        <v>1</v>
      </c>
      <c r="CC133">
        <v>0</v>
      </c>
      <c r="CD133">
        <v>0</v>
      </c>
      <c r="CE133">
        <v>0</v>
      </c>
      <c r="CF133">
        <v>0</v>
      </c>
    </row>
    <row r="134" spans="1:84" x14ac:dyDescent="0.35">
      <c r="A134" t="s">
        <v>398</v>
      </c>
      <c r="B134" t="str">
        <f t="shared" si="9"/>
        <v xml:space="preserve"> so_pa_2005_04_02_152</v>
      </c>
      <c r="C134" s="1">
        <f t="shared" si="10"/>
        <v>45761</v>
      </c>
      <c r="D134" t="s">
        <v>78</v>
      </c>
      <c r="E134">
        <v>217.66399999999999</v>
      </c>
      <c r="F134">
        <v>217.548</v>
      </c>
      <c r="G134">
        <v>2.3940000000000001</v>
      </c>
      <c r="H134">
        <v>211.005</v>
      </c>
      <c r="I134">
        <v>0.98458333333333337</v>
      </c>
      <c r="J134">
        <v>232.80500000000001</v>
      </c>
      <c r="K134">
        <v>0.97625000000000006</v>
      </c>
      <c r="L134">
        <v>0.46400000000000002</v>
      </c>
      <c r="M134">
        <v>-26.097999999999999</v>
      </c>
      <c r="N134">
        <v>736.05799999999999</v>
      </c>
      <c r="O134">
        <v>740.28800000000001</v>
      </c>
      <c r="P134">
        <v>41.179000000000002</v>
      </c>
      <c r="Q134">
        <v>634.53200000000004</v>
      </c>
      <c r="R134">
        <v>951.79899999999998</v>
      </c>
      <c r="S134">
        <v>1298.2529999999999</v>
      </c>
      <c r="T134">
        <v>1321.942</v>
      </c>
      <c r="U134">
        <v>51.344000000000001</v>
      </c>
      <c r="V134">
        <v>1057.5540000000001</v>
      </c>
      <c r="W134">
        <v>1480.576</v>
      </c>
      <c r="X134">
        <v>2932.8090000000002</v>
      </c>
      <c r="Y134">
        <v>2908.2730000000001</v>
      </c>
      <c r="Z134">
        <v>117.577</v>
      </c>
      <c r="AA134">
        <v>2696.7629999999999</v>
      </c>
      <c r="AB134">
        <v>3595.683</v>
      </c>
      <c r="AC134">
        <v>2.4</v>
      </c>
      <c r="AD134">
        <v>216.69900000000001</v>
      </c>
      <c r="AE134">
        <v>215.12200000000001</v>
      </c>
      <c r="AF134">
        <v>7.86</v>
      </c>
      <c r="AG134">
        <v>212.01900000000001</v>
      </c>
      <c r="AH134">
        <v>0</v>
      </c>
      <c r="AI134">
        <v>273.91300000000001</v>
      </c>
      <c r="AJ134">
        <v>0.979741379310345</v>
      </c>
      <c r="AK134">
        <v>0.55700000000000005</v>
      </c>
      <c r="AL134">
        <v>-25.646999999999998</v>
      </c>
      <c r="AM134">
        <v>349.702</v>
      </c>
      <c r="AN134">
        <v>366.19200000000001</v>
      </c>
      <c r="AO134">
        <v>25.638999999999999</v>
      </c>
      <c r="AP134">
        <v>313.87900000000002</v>
      </c>
      <c r="AQ134">
        <v>418.505</v>
      </c>
      <c r="AR134">
        <v>2547.6509999999998</v>
      </c>
      <c r="AS134">
        <v>2563.3449999999998</v>
      </c>
      <c r="AT134">
        <v>139.50700000000001</v>
      </c>
      <c r="AU134">
        <v>1412.4559999999999</v>
      </c>
      <c r="AV134">
        <v>2615.6579999999999</v>
      </c>
      <c r="AW134">
        <v>3606.1210000000001</v>
      </c>
      <c r="AX134">
        <v>3609.6089999999999</v>
      </c>
      <c r="AY134">
        <v>114.84</v>
      </c>
      <c r="AZ134">
        <v>3295.73</v>
      </c>
      <c r="BA134">
        <v>3923.4879999999998</v>
      </c>
      <c r="BB134">
        <v>2.3199999999999998</v>
      </c>
      <c r="BC134">
        <v>218.44399999999999</v>
      </c>
      <c r="BD134">
        <v>218.00800000000001</v>
      </c>
      <c r="BE134">
        <v>2.5790000000000002</v>
      </c>
      <c r="BF134">
        <v>210.57300000000001</v>
      </c>
      <c r="BG134">
        <v>0.99031007751937983</v>
      </c>
      <c r="BH134">
        <v>239.67400000000001</v>
      </c>
      <c r="BI134">
        <v>0</v>
      </c>
      <c r="BJ134">
        <v>0.40100000000000002</v>
      </c>
      <c r="BK134">
        <v>-29.100999999999999</v>
      </c>
      <c r="BL134">
        <v>422.51499999999999</v>
      </c>
      <c r="BM134">
        <v>422.51499999999999</v>
      </c>
      <c r="BN134">
        <v>0</v>
      </c>
      <c r="BO134">
        <v>422.51499999999999</v>
      </c>
      <c r="BP134">
        <v>422.51499999999999</v>
      </c>
      <c r="BQ134">
        <v>1107.9190000000001</v>
      </c>
      <c r="BR134">
        <v>1109.1020000000001</v>
      </c>
      <c r="BS134">
        <v>66.195999999999998</v>
      </c>
      <c r="BT134">
        <v>1003.473</v>
      </c>
      <c r="BU134">
        <v>1478.8019999999999</v>
      </c>
      <c r="BV134">
        <v>3554.6030000000001</v>
      </c>
      <c r="BW134">
        <v>3538.5630000000001</v>
      </c>
      <c r="BX134">
        <v>184.12</v>
      </c>
      <c r="BY134">
        <v>3116.0479999999998</v>
      </c>
      <c r="BZ134">
        <v>4700.4790000000003</v>
      </c>
      <c r="CA134">
        <v>2.58</v>
      </c>
      <c r="CB134">
        <v>5</v>
      </c>
      <c r="CC134">
        <v>2</v>
      </c>
      <c r="CD134">
        <v>1</v>
      </c>
      <c r="CE134">
        <v>0</v>
      </c>
      <c r="CF134">
        <v>1</v>
      </c>
    </row>
    <row r="135" spans="1:84" x14ac:dyDescent="0.35">
      <c r="A135" t="s">
        <v>399</v>
      </c>
      <c r="B135" t="str">
        <f t="shared" si="9"/>
        <v xml:space="preserve"> so_ru_2006_02_08_848</v>
      </c>
      <c r="C135" s="1">
        <f t="shared" si="10"/>
        <v>45761</v>
      </c>
      <c r="D135" t="s">
        <v>78</v>
      </c>
      <c r="E135">
        <v>262.38200000000001</v>
      </c>
      <c r="F135">
        <v>261.16800000000001</v>
      </c>
      <c r="G135">
        <v>7.0890000000000004</v>
      </c>
      <c r="H135">
        <v>253.24</v>
      </c>
      <c r="I135">
        <v>0.16468531468531469</v>
      </c>
      <c r="J135">
        <v>325.29000000000002</v>
      </c>
      <c r="K135">
        <v>5.5944055944055944E-3</v>
      </c>
      <c r="L135">
        <v>0.43099999999999999</v>
      </c>
      <c r="M135">
        <v>-32.04</v>
      </c>
      <c r="N135">
        <v>508.15699999999998</v>
      </c>
      <c r="O135">
        <v>512.04600000000005</v>
      </c>
      <c r="P135">
        <v>78.147999999999996</v>
      </c>
      <c r="Q135">
        <v>384.03500000000003</v>
      </c>
      <c r="R135">
        <v>960.08699999999999</v>
      </c>
      <c r="S135">
        <v>1160.9449999999999</v>
      </c>
      <c r="T135">
        <v>1152.104</v>
      </c>
      <c r="U135">
        <v>82.293000000000006</v>
      </c>
      <c r="V135">
        <v>1088.0989999999999</v>
      </c>
      <c r="W135">
        <v>1728.1569999999999</v>
      </c>
      <c r="X135">
        <v>2585.3389999999999</v>
      </c>
      <c r="Y135">
        <v>2560.232</v>
      </c>
      <c r="Z135">
        <v>108.7</v>
      </c>
      <c r="AA135">
        <v>2368.2150000000001</v>
      </c>
      <c r="AB135">
        <v>3520.319</v>
      </c>
      <c r="AC135">
        <v>2.86</v>
      </c>
      <c r="AD135">
        <v>266.88900000000001</v>
      </c>
      <c r="AE135">
        <v>265.66300000000001</v>
      </c>
      <c r="AF135">
        <v>4.891</v>
      </c>
      <c r="AG135">
        <v>253.44800000000001</v>
      </c>
      <c r="AH135">
        <v>0.96999999999999986</v>
      </c>
      <c r="AI135">
        <v>289.04500000000002</v>
      </c>
      <c r="AJ135">
        <v>0.98409090909090902</v>
      </c>
      <c r="AK135">
        <v>0.38100000000000001</v>
      </c>
      <c r="AL135">
        <v>-34.384</v>
      </c>
      <c r="AM135">
        <v>290.12900000000002</v>
      </c>
      <c r="AN135">
        <v>260.56099999999998</v>
      </c>
      <c r="AO135">
        <v>40.061</v>
      </c>
      <c r="AP135">
        <v>260.56099999999998</v>
      </c>
      <c r="AQ135">
        <v>455.98200000000003</v>
      </c>
      <c r="AR135">
        <v>2430.5479999999998</v>
      </c>
      <c r="AS135">
        <v>2475.3319999999999</v>
      </c>
      <c r="AT135">
        <v>113.373</v>
      </c>
      <c r="AU135">
        <v>2084.4899999999998</v>
      </c>
      <c r="AV135">
        <v>2605.6129999999998</v>
      </c>
      <c r="AW135">
        <v>3344.7939999999999</v>
      </c>
      <c r="AX135">
        <v>3322.1570000000002</v>
      </c>
      <c r="AY135">
        <v>198.80199999999999</v>
      </c>
      <c r="AZ135">
        <v>2801.0340000000001</v>
      </c>
      <c r="BA135">
        <v>3973.56</v>
      </c>
      <c r="BB135">
        <v>2.2000000000000002</v>
      </c>
      <c r="BC135">
        <v>271.20600000000002</v>
      </c>
      <c r="BD135">
        <v>271.98200000000003</v>
      </c>
      <c r="BE135">
        <v>4.9669999999999996</v>
      </c>
      <c r="BF135">
        <v>254.703</v>
      </c>
      <c r="BG135">
        <v>0.96187050359712234</v>
      </c>
      <c r="BH135">
        <v>304.13799999999998</v>
      </c>
      <c r="BI135">
        <v>0</v>
      </c>
      <c r="BJ135">
        <v>0.52100000000000002</v>
      </c>
      <c r="BK135">
        <v>-31.82</v>
      </c>
      <c r="BL135">
        <v>360.18700000000001</v>
      </c>
      <c r="BM135">
        <v>397.29700000000003</v>
      </c>
      <c r="BN135">
        <v>43.142000000000003</v>
      </c>
      <c r="BO135">
        <v>264.86500000000001</v>
      </c>
      <c r="BP135">
        <v>463.51400000000001</v>
      </c>
      <c r="BQ135">
        <v>1332.961</v>
      </c>
      <c r="BR135">
        <v>1324.3240000000001</v>
      </c>
      <c r="BS135">
        <v>173.45500000000001</v>
      </c>
      <c r="BT135">
        <v>1059.4590000000001</v>
      </c>
      <c r="BU135">
        <v>1721.6220000000001</v>
      </c>
      <c r="BV135">
        <v>3195.114</v>
      </c>
      <c r="BW135">
        <v>3178.3780000000002</v>
      </c>
      <c r="BX135">
        <v>265.15600000000001</v>
      </c>
      <c r="BY135">
        <v>2450</v>
      </c>
      <c r="BZ135">
        <v>3840.5410000000002</v>
      </c>
      <c r="CA135">
        <v>2.78</v>
      </c>
      <c r="CB135">
        <v>7</v>
      </c>
      <c r="CC135">
        <v>1</v>
      </c>
      <c r="CD135">
        <v>1</v>
      </c>
      <c r="CE135">
        <v>6</v>
      </c>
      <c r="CF135">
        <v>4</v>
      </c>
    </row>
    <row r="136" spans="1:84" x14ac:dyDescent="0.35">
      <c r="A136" t="s">
        <v>400</v>
      </c>
      <c r="B136" t="str">
        <f t="shared" si="9"/>
        <v xml:space="preserve"> so_vi_2004_10_14_130</v>
      </c>
      <c r="C136" s="1">
        <f t="shared" si="10"/>
        <v>45761</v>
      </c>
      <c r="D136" t="s">
        <v>78</v>
      </c>
      <c r="E136">
        <v>187.38200000000001</v>
      </c>
      <c r="F136">
        <v>186.52600000000001</v>
      </c>
      <c r="G136">
        <v>4.593</v>
      </c>
      <c r="H136">
        <v>183.096</v>
      </c>
      <c r="I136">
        <v>0.58950617283950613</v>
      </c>
      <c r="J136">
        <v>216.63200000000001</v>
      </c>
      <c r="K136">
        <v>6.1728395061728392E-3</v>
      </c>
      <c r="L136">
        <v>0.45900000000000002</v>
      </c>
      <c r="M136">
        <v>-29.88</v>
      </c>
      <c r="N136">
        <v>611.56700000000001</v>
      </c>
      <c r="O136">
        <v>582.03</v>
      </c>
      <c r="P136">
        <v>70.075999999999993</v>
      </c>
      <c r="Q136">
        <v>492.48700000000002</v>
      </c>
      <c r="R136">
        <v>761.11699999999996</v>
      </c>
      <c r="S136">
        <v>1097.5250000000001</v>
      </c>
      <c r="T136">
        <v>1074.518</v>
      </c>
      <c r="U136">
        <v>29.945</v>
      </c>
      <c r="V136">
        <v>1029.7460000000001</v>
      </c>
      <c r="W136">
        <v>1208.8320000000001</v>
      </c>
      <c r="X136">
        <v>2837.3980000000001</v>
      </c>
      <c r="Y136">
        <v>2820.6089999999999</v>
      </c>
      <c r="Z136">
        <v>187.78800000000001</v>
      </c>
      <c r="AA136">
        <v>2462.4369999999999</v>
      </c>
      <c r="AB136">
        <v>3313.096</v>
      </c>
      <c r="AC136">
        <v>3.24</v>
      </c>
      <c r="AD136">
        <v>189.29</v>
      </c>
      <c r="AE136">
        <v>187.54599999999999</v>
      </c>
      <c r="AF136">
        <v>11.082000000000001</v>
      </c>
      <c r="AG136">
        <v>175.09899999999999</v>
      </c>
      <c r="AH136">
        <v>0.99841269841269842</v>
      </c>
      <c r="AI136">
        <v>294.56099999999998</v>
      </c>
      <c r="AJ136">
        <v>0.98928571428571421</v>
      </c>
      <c r="AK136">
        <v>1.1419999999999999</v>
      </c>
      <c r="AL136">
        <v>-30.19</v>
      </c>
      <c r="AM136">
        <v>350.89800000000002</v>
      </c>
      <c r="AN136">
        <v>339.57900000000001</v>
      </c>
      <c r="AO136">
        <v>43.35</v>
      </c>
      <c r="AP136">
        <v>316.94</v>
      </c>
      <c r="AQ136">
        <v>407.495</v>
      </c>
      <c r="AR136">
        <v>2186.529</v>
      </c>
      <c r="AS136">
        <v>2173.306</v>
      </c>
      <c r="AT136">
        <v>61.011000000000003</v>
      </c>
      <c r="AU136">
        <v>1946.92</v>
      </c>
      <c r="AV136">
        <v>2354.415</v>
      </c>
      <c r="AW136">
        <v>3567.2829999999999</v>
      </c>
      <c r="AX136">
        <v>3531.6219999999998</v>
      </c>
      <c r="AY136">
        <v>254.58199999999999</v>
      </c>
      <c r="AZ136">
        <v>3033.5729999999999</v>
      </c>
      <c r="BA136">
        <v>4210.78</v>
      </c>
      <c r="BB136">
        <v>2.52</v>
      </c>
      <c r="BC136">
        <v>195.29599999999999</v>
      </c>
      <c r="BD136">
        <v>194.029</v>
      </c>
      <c r="BE136">
        <v>4.3650000000000002</v>
      </c>
      <c r="BF136">
        <v>191.739</v>
      </c>
      <c r="BG136">
        <v>0.63429487179487176</v>
      </c>
      <c r="BH136">
        <v>222.727</v>
      </c>
      <c r="BI136">
        <v>6.41025641025641E-3</v>
      </c>
      <c r="BJ136">
        <v>0.39700000000000002</v>
      </c>
      <c r="BK136">
        <v>-31.462</v>
      </c>
      <c r="BL136">
        <v>351.90300000000002</v>
      </c>
      <c r="BM136">
        <v>374.125</v>
      </c>
      <c r="BN136">
        <v>23.437000000000001</v>
      </c>
      <c r="BO136">
        <v>327.35899999999998</v>
      </c>
      <c r="BP136">
        <v>374.125</v>
      </c>
      <c r="BQ136">
        <v>1013.3680000000001</v>
      </c>
      <c r="BR136">
        <v>1028.8440000000001</v>
      </c>
      <c r="BS136">
        <v>36.654000000000003</v>
      </c>
      <c r="BT136">
        <v>982.07799999999997</v>
      </c>
      <c r="BU136">
        <v>1122.375</v>
      </c>
      <c r="BV136">
        <v>2680.4780000000001</v>
      </c>
      <c r="BW136">
        <v>2665.6419999999998</v>
      </c>
      <c r="BX136">
        <v>139.94</v>
      </c>
      <c r="BY136">
        <v>2431.8130000000001</v>
      </c>
      <c r="BZ136">
        <v>3273.5949999999998</v>
      </c>
      <c r="CA136">
        <v>3.12</v>
      </c>
      <c r="CB136">
        <v>2</v>
      </c>
      <c r="CC136">
        <v>5</v>
      </c>
      <c r="CD136">
        <v>0</v>
      </c>
      <c r="CE136">
        <v>5</v>
      </c>
      <c r="CF136">
        <v>1</v>
      </c>
    </row>
    <row r="137" spans="1:84" x14ac:dyDescent="0.35">
      <c r="A137" t="s">
        <v>401</v>
      </c>
      <c r="B137" t="str">
        <f t="shared" si="9"/>
        <v xml:space="preserve"> so_vi_2006_01_30_222</v>
      </c>
      <c r="C137" s="1">
        <f t="shared" si="10"/>
        <v>45761</v>
      </c>
      <c r="D137" t="s">
        <v>78</v>
      </c>
      <c r="E137">
        <v>190.68799999999999</v>
      </c>
      <c r="F137">
        <v>190.321</v>
      </c>
      <c r="G137">
        <v>8.0239999999999991</v>
      </c>
      <c r="H137">
        <v>108.506</v>
      </c>
      <c r="I137">
        <v>0.98692810457516333</v>
      </c>
      <c r="J137">
        <v>223.858</v>
      </c>
      <c r="K137">
        <v>0.96535947712418302</v>
      </c>
      <c r="L137">
        <v>1.554</v>
      </c>
      <c r="M137">
        <v>-22.416</v>
      </c>
      <c r="N137">
        <v>785.72199999999998</v>
      </c>
      <c r="O137">
        <v>781.75199999999995</v>
      </c>
      <c r="P137">
        <v>66.311999999999998</v>
      </c>
      <c r="Q137">
        <v>367.88299999999998</v>
      </c>
      <c r="R137">
        <v>873.72299999999996</v>
      </c>
      <c r="S137">
        <v>1036.2570000000001</v>
      </c>
      <c r="T137">
        <v>1011.679</v>
      </c>
      <c r="U137">
        <v>57.668999999999997</v>
      </c>
      <c r="V137">
        <v>965.69299999999998</v>
      </c>
      <c r="W137">
        <v>1425.547</v>
      </c>
      <c r="X137">
        <v>2812.7190000000001</v>
      </c>
      <c r="Y137">
        <v>2805.1089999999999</v>
      </c>
      <c r="Z137">
        <v>228.697</v>
      </c>
      <c r="AA137">
        <v>2299.27</v>
      </c>
      <c r="AB137">
        <v>3356.9340000000002</v>
      </c>
      <c r="AC137">
        <v>3.06</v>
      </c>
      <c r="AD137">
        <v>199.154</v>
      </c>
      <c r="AE137">
        <v>196</v>
      </c>
      <c r="AF137">
        <v>14.257999999999999</v>
      </c>
      <c r="AG137">
        <v>192.33600000000001</v>
      </c>
      <c r="AH137">
        <v>0.86098484848484846</v>
      </c>
      <c r="AI137">
        <v>305.34100000000001</v>
      </c>
      <c r="AJ137">
        <v>0</v>
      </c>
      <c r="AK137">
        <v>0.66300000000000003</v>
      </c>
      <c r="AL137">
        <v>-27.152000000000001</v>
      </c>
      <c r="AM137">
        <v>349.04700000000003</v>
      </c>
      <c r="AN137">
        <v>332.29300000000001</v>
      </c>
      <c r="AO137">
        <v>24.4</v>
      </c>
      <c r="AP137">
        <v>284.822</v>
      </c>
      <c r="AQ137">
        <v>379.76299999999998</v>
      </c>
      <c r="AR137">
        <v>1661.0650000000001</v>
      </c>
      <c r="AS137">
        <v>1661.4639999999999</v>
      </c>
      <c r="AT137">
        <v>123.215</v>
      </c>
      <c r="AU137">
        <v>1376.6420000000001</v>
      </c>
      <c r="AV137">
        <v>1946.2860000000001</v>
      </c>
      <c r="AW137">
        <v>3801.46</v>
      </c>
      <c r="AX137">
        <v>3845.1019999999999</v>
      </c>
      <c r="AY137">
        <v>146.232</v>
      </c>
      <c r="AZ137">
        <v>2943.165</v>
      </c>
      <c r="BA137">
        <v>3987.5129999999999</v>
      </c>
      <c r="BB137">
        <v>2.64</v>
      </c>
      <c r="BC137">
        <v>200.89</v>
      </c>
      <c r="BD137">
        <v>200.65</v>
      </c>
      <c r="BE137">
        <v>2.8730000000000002</v>
      </c>
      <c r="BF137">
        <v>195.00899999999999</v>
      </c>
      <c r="BG137">
        <v>0.46792452830188674</v>
      </c>
      <c r="BH137">
        <v>216.63200000000001</v>
      </c>
      <c r="BI137">
        <v>1.9339622641509433E-2</v>
      </c>
      <c r="BJ137">
        <v>0.65500000000000003</v>
      </c>
      <c r="BK137">
        <v>-26.503</v>
      </c>
      <c r="BL137">
        <v>363.66399999999999</v>
      </c>
      <c r="BM137">
        <v>342.23899999999998</v>
      </c>
      <c r="BN137">
        <v>33.74</v>
      </c>
      <c r="BO137">
        <v>342.23899999999998</v>
      </c>
      <c r="BP137">
        <v>537.80499999999995</v>
      </c>
      <c r="BQ137">
        <v>976.86800000000005</v>
      </c>
      <c r="BR137">
        <v>977.827</v>
      </c>
      <c r="BS137">
        <v>75.045000000000002</v>
      </c>
      <c r="BT137">
        <v>928.93600000000004</v>
      </c>
      <c r="BU137">
        <v>1564.5229999999999</v>
      </c>
      <c r="BV137">
        <v>3270.4479999999999</v>
      </c>
      <c r="BW137">
        <v>3275.721</v>
      </c>
      <c r="BX137">
        <v>227.029</v>
      </c>
      <c r="BY137">
        <v>2689.0239999999999</v>
      </c>
      <c r="BZ137">
        <v>3960.2</v>
      </c>
      <c r="CA137">
        <v>2.12</v>
      </c>
      <c r="CB137">
        <v>8</v>
      </c>
      <c r="CC137">
        <v>2</v>
      </c>
      <c r="CD137">
        <v>0</v>
      </c>
      <c r="CE137">
        <v>1</v>
      </c>
      <c r="CF137">
        <v>0</v>
      </c>
    </row>
    <row r="138" spans="1:84" x14ac:dyDescent="0.35">
      <c r="A138" t="s">
        <v>402</v>
      </c>
      <c r="B138" t="str">
        <f t="shared" si="9"/>
        <v xml:space="preserve"> te_li_2005_06_12_911</v>
      </c>
      <c r="C138" s="1">
        <f t="shared" si="10"/>
        <v>45761</v>
      </c>
      <c r="D138" t="s">
        <v>78</v>
      </c>
      <c r="E138">
        <v>186.27199999999999</v>
      </c>
      <c r="F138">
        <v>184.96100000000001</v>
      </c>
      <c r="G138">
        <v>9.6910000000000007</v>
      </c>
      <c r="H138">
        <v>178.33600000000001</v>
      </c>
      <c r="I138">
        <v>2.0754716981132074E-2</v>
      </c>
      <c r="J138">
        <v>283.471</v>
      </c>
      <c r="K138">
        <v>6.2893081761006284E-3</v>
      </c>
      <c r="L138">
        <v>1.0429999999999999</v>
      </c>
      <c r="M138">
        <v>-23.126000000000001</v>
      </c>
      <c r="N138">
        <v>723.50599999999997</v>
      </c>
      <c r="O138">
        <v>704.19200000000001</v>
      </c>
      <c r="P138">
        <v>43.728999999999999</v>
      </c>
      <c r="Q138">
        <v>440.12</v>
      </c>
      <c r="R138">
        <v>836.22799999999995</v>
      </c>
      <c r="S138">
        <v>1081.4849999999999</v>
      </c>
      <c r="T138">
        <v>1056.287</v>
      </c>
      <c r="U138">
        <v>37.436999999999998</v>
      </c>
      <c r="V138">
        <v>1012.275</v>
      </c>
      <c r="W138">
        <v>1320.3589999999999</v>
      </c>
      <c r="X138">
        <v>2423.5079999999998</v>
      </c>
      <c r="Y138">
        <v>2376.6469999999999</v>
      </c>
      <c r="Z138">
        <v>198.97</v>
      </c>
      <c r="AA138">
        <v>2068.5630000000001</v>
      </c>
      <c r="AB138">
        <v>3388.922</v>
      </c>
      <c r="AC138">
        <v>3.18</v>
      </c>
      <c r="AD138">
        <v>191.89599999999999</v>
      </c>
      <c r="AE138">
        <v>191.14599999999999</v>
      </c>
      <c r="AF138">
        <v>5.3289999999999997</v>
      </c>
      <c r="AG138">
        <v>183.96899999999999</v>
      </c>
      <c r="AH138">
        <v>0.1222543352601156</v>
      </c>
      <c r="AI138">
        <v>238.74700000000001</v>
      </c>
      <c r="AJ138">
        <v>0</v>
      </c>
      <c r="AK138">
        <v>0.95299999999999996</v>
      </c>
      <c r="AL138">
        <v>-19.027000000000001</v>
      </c>
      <c r="AM138">
        <v>370.04</v>
      </c>
      <c r="AN138">
        <v>361.47500000000002</v>
      </c>
      <c r="AO138">
        <v>19.22</v>
      </c>
      <c r="AP138">
        <v>316.291</v>
      </c>
      <c r="AQ138">
        <v>406.66</v>
      </c>
      <c r="AR138">
        <v>1948.8240000000001</v>
      </c>
      <c r="AS138">
        <v>1942.93</v>
      </c>
      <c r="AT138">
        <v>225.596</v>
      </c>
      <c r="AU138">
        <v>1400.7170000000001</v>
      </c>
      <c r="AV138">
        <v>2485.143</v>
      </c>
      <c r="AW138">
        <v>3676.5549999999998</v>
      </c>
      <c r="AX138">
        <v>3614.7539999999999</v>
      </c>
      <c r="AY138">
        <v>386.67399999999998</v>
      </c>
      <c r="AZ138">
        <v>2982.172</v>
      </c>
      <c r="BA138">
        <v>4834.7340000000004</v>
      </c>
      <c r="BB138">
        <v>3.46</v>
      </c>
      <c r="BC138">
        <v>198.44900000000001</v>
      </c>
      <c r="BD138">
        <v>194.76300000000001</v>
      </c>
      <c r="BE138">
        <v>33.527999999999999</v>
      </c>
      <c r="BF138">
        <v>95.751000000000005</v>
      </c>
      <c r="BG138">
        <v>0.76645962732919248</v>
      </c>
      <c r="BH138">
        <v>331.57900000000001</v>
      </c>
      <c r="BI138">
        <v>0</v>
      </c>
      <c r="BJ138">
        <v>3.1259999999999999</v>
      </c>
      <c r="BK138">
        <v>-18.629000000000001</v>
      </c>
      <c r="BL138">
        <v>393.89600000000002</v>
      </c>
      <c r="BM138">
        <v>375.31900000000002</v>
      </c>
      <c r="BN138">
        <v>38.878</v>
      </c>
      <c r="BO138">
        <v>328.404</v>
      </c>
      <c r="BP138">
        <v>750.63800000000003</v>
      </c>
      <c r="BQ138">
        <v>1335.0250000000001</v>
      </c>
      <c r="BR138">
        <v>1313.617</v>
      </c>
      <c r="BS138">
        <v>121.982</v>
      </c>
      <c r="BT138">
        <v>1125.9570000000001</v>
      </c>
      <c r="BU138">
        <v>1735.8510000000001</v>
      </c>
      <c r="BV138">
        <v>3247.7620000000002</v>
      </c>
      <c r="BW138">
        <v>3237.1280000000002</v>
      </c>
      <c r="BX138">
        <v>207.768</v>
      </c>
      <c r="BY138">
        <v>2674.1489999999999</v>
      </c>
      <c r="BZ138">
        <v>3753.1909999999998</v>
      </c>
      <c r="CA138">
        <v>3.22</v>
      </c>
    </row>
    <row r="139" spans="1:84" x14ac:dyDescent="0.35">
      <c r="A139" t="s">
        <v>403</v>
      </c>
      <c r="B139" t="str">
        <f t="shared" si="9"/>
        <v xml:space="preserve"> va_li_2004_04_15_257</v>
      </c>
      <c r="C139" s="1">
        <f t="shared" si="10"/>
        <v>45761</v>
      </c>
      <c r="D139" t="s">
        <v>78</v>
      </c>
      <c r="E139">
        <v>179.78800000000001</v>
      </c>
      <c r="F139">
        <v>179.477</v>
      </c>
      <c r="G139">
        <v>2.0249999999999999</v>
      </c>
      <c r="H139">
        <v>177.21</v>
      </c>
      <c r="I139">
        <v>0.22922950370167261</v>
      </c>
      <c r="J139">
        <v>191.739</v>
      </c>
      <c r="K139">
        <v>1.0967918837400604E-2</v>
      </c>
      <c r="L139">
        <v>0.31900000000000001</v>
      </c>
      <c r="M139">
        <v>-20.64</v>
      </c>
      <c r="N139">
        <v>877.39700000000005</v>
      </c>
      <c r="O139">
        <v>859.649</v>
      </c>
      <c r="P139">
        <v>60.546999999999997</v>
      </c>
      <c r="Q139">
        <v>601.75400000000002</v>
      </c>
      <c r="R139">
        <v>988.596</v>
      </c>
      <c r="S139">
        <v>1094.0989999999999</v>
      </c>
      <c r="T139">
        <v>1074.5609999999999</v>
      </c>
      <c r="U139">
        <v>40.847999999999999</v>
      </c>
      <c r="V139">
        <v>1074.5609999999999</v>
      </c>
      <c r="W139">
        <v>1418.421</v>
      </c>
      <c r="X139">
        <v>3321.0189999999998</v>
      </c>
      <c r="Y139">
        <v>3352.6320000000001</v>
      </c>
      <c r="Z139">
        <v>165.464</v>
      </c>
      <c r="AA139">
        <v>2836.8420000000001</v>
      </c>
      <c r="AB139">
        <v>3825.4389999999999</v>
      </c>
      <c r="AC139">
        <v>3.6469999999999998</v>
      </c>
      <c r="AD139">
        <v>184.47200000000001</v>
      </c>
      <c r="AE139">
        <v>182.55500000000001</v>
      </c>
      <c r="AF139">
        <v>11.212999999999999</v>
      </c>
      <c r="AG139">
        <v>179.06</v>
      </c>
      <c r="AH139">
        <v>0.38403141361256549</v>
      </c>
      <c r="AI139">
        <v>283.73200000000003</v>
      </c>
      <c r="AJ139">
        <v>0</v>
      </c>
      <c r="AK139">
        <v>0.47899999999999998</v>
      </c>
      <c r="AL139">
        <v>-28.280999999999999</v>
      </c>
      <c r="AM139">
        <v>351.04500000000002</v>
      </c>
      <c r="AN139">
        <v>351.04500000000002</v>
      </c>
      <c r="AO139">
        <v>56.65</v>
      </c>
      <c r="AP139">
        <v>263.28399999999999</v>
      </c>
      <c r="AQ139">
        <v>482.68700000000001</v>
      </c>
      <c r="AR139">
        <v>2444.3919999999998</v>
      </c>
      <c r="AS139">
        <v>2457.3130000000001</v>
      </c>
      <c r="AT139">
        <v>126.854</v>
      </c>
      <c r="AU139">
        <v>1491.94</v>
      </c>
      <c r="AV139">
        <v>2588.9549999999999</v>
      </c>
      <c r="AW139">
        <v>3732.23</v>
      </c>
      <c r="AX139">
        <v>3729.8510000000001</v>
      </c>
      <c r="AY139">
        <v>196.79</v>
      </c>
      <c r="AZ139">
        <v>3115.5219999999999</v>
      </c>
      <c r="BA139">
        <v>4651.3429999999998</v>
      </c>
      <c r="BB139">
        <v>3.82</v>
      </c>
      <c r="BC139">
        <v>185.541</v>
      </c>
      <c r="BD139">
        <v>183.85900000000001</v>
      </c>
      <c r="BE139">
        <v>13.933</v>
      </c>
      <c r="BF139">
        <v>180</v>
      </c>
      <c r="BG139">
        <v>6.5284974093264253E-2</v>
      </c>
      <c r="BH139">
        <v>324.26499999999999</v>
      </c>
      <c r="BI139">
        <v>0</v>
      </c>
      <c r="BJ139">
        <v>0.55400000000000005</v>
      </c>
      <c r="BK139">
        <v>-30.727</v>
      </c>
      <c r="BL139">
        <v>342.19900000000001</v>
      </c>
      <c r="BM139">
        <v>351.745</v>
      </c>
      <c r="BN139">
        <v>22.009</v>
      </c>
      <c r="BO139">
        <v>307.77699999999999</v>
      </c>
      <c r="BP139">
        <v>483.649</v>
      </c>
      <c r="BQ139">
        <v>1013.7430000000001</v>
      </c>
      <c r="BR139">
        <v>1011.266</v>
      </c>
      <c r="BS139">
        <v>54.11</v>
      </c>
      <c r="BT139">
        <v>967.298</v>
      </c>
      <c r="BU139">
        <v>1363.011</v>
      </c>
      <c r="BV139">
        <v>4067.5720000000001</v>
      </c>
      <c r="BW139">
        <v>4089.0329999999999</v>
      </c>
      <c r="BX139">
        <v>182.779</v>
      </c>
      <c r="BY139">
        <v>3385.5430000000001</v>
      </c>
      <c r="BZ139">
        <v>4440.7780000000002</v>
      </c>
      <c r="CA139">
        <v>3.86</v>
      </c>
      <c r="CB139">
        <v>7</v>
      </c>
      <c r="CC139">
        <v>3</v>
      </c>
      <c r="CD139">
        <v>0</v>
      </c>
      <c r="CE139">
        <v>3</v>
      </c>
      <c r="CF139">
        <v>3</v>
      </c>
    </row>
    <row r="140" spans="1:84" x14ac:dyDescent="0.35">
      <c r="A140" t="s">
        <v>404</v>
      </c>
      <c r="B140" t="str">
        <f t="shared" si="9"/>
        <v xml:space="preserve"> va_ma_2005_05_31_567</v>
      </c>
      <c r="C140" s="1">
        <f t="shared" si="10"/>
        <v>45761</v>
      </c>
      <c r="D140" t="s">
        <v>78</v>
      </c>
      <c r="E140">
        <v>162.78800000000001</v>
      </c>
      <c r="F140">
        <v>162.64500000000001</v>
      </c>
      <c r="G140">
        <v>3.048</v>
      </c>
      <c r="H140">
        <v>159.37</v>
      </c>
      <c r="I140">
        <v>6.1320754716981132E-2</v>
      </c>
      <c r="J140">
        <v>184.51900000000001</v>
      </c>
      <c r="K140">
        <v>0</v>
      </c>
      <c r="L140">
        <v>0.52700000000000002</v>
      </c>
      <c r="M140">
        <v>-30.494</v>
      </c>
      <c r="N140">
        <v>340.27800000000002</v>
      </c>
      <c r="O140">
        <v>350</v>
      </c>
      <c r="P140">
        <v>45.024000000000001</v>
      </c>
      <c r="Q140">
        <v>272.22199999999998</v>
      </c>
      <c r="R140">
        <v>505.55599999999998</v>
      </c>
      <c r="S140">
        <v>1286.7360000000001</v>
      </c>
      <c r="T140">
        <v>1283.3330000000001</v>
      </c>
      <c r="U140">
        <v>60.688000000000002</v>
      </c>
      <c r="V140">
        <v>1166.6669999999999</v>
      </c>
      <c r="W140">
        <v>1477.778</v>
      </c>
      <c r="X140">
        <v>3071.2620000000002</v>
      </c>
      <c r="Y140">
        <v>3111.1109999999999</v>
      </c>
      <c r="Z140">
        <v>117.792</v>
      </c>
      <c r="AA140">
        <v>2761.1109999999999</v>
      </c>
      <c r="AB140">
        <v>3344.444</v>
      </c>
      <c r="AC140">
        <v>2.12</v>
      </c>
      <c r="AD140">
        <v>175.465</v>
      </c>
      <c r="AE140">
        <v>165.30099999999999</v>
      </c>
      <c r="AF140">
        <v>44.753</v>
      </c>
      <c r="AG140">
        <v>103.765</v>
      </c>
      <c r="AH140">
        <v>0.86453900709219866</v>
      </c>
      <c r="AI140">
        <v>355.64499999999998</v>
      </c>
      <c r="AJ140">
        <v>0.92978723404255326</v>
      </c>
      <c r="AK140">
        <v>9.4559999999999995</v>
      </c>
      <c r="AL140">
        <v>-25.189</v>
      </c>
      <c r="AM140">
        <v>324.39400000000001</v>
      </c>
      <c r="AN140">
        <v>306.85899999999998</v>
      </c>
      <c r="AO140">
        <v>30.14</v>
      </c>
      <c r="AP140">
        <v>306.85899999999998</v>
      </c>
      <c r="AQ140">
        <v>394.53300000000002</v>
      </c>
      <c r="AR140">
        <v>2082.86</v>
      </c>
      <c r="AS140">
        <v>2235.6860000000001</v>
      </c>
      <c r="AT140">
        <v>317.27100000000002</v>
      </c>
      <c r="AU140">
        <v>1139.761</v>
      </c>
      <c r="AV140">
        <v>2498.7080000000001</v>
      </c>
      <c r="AW140">
        <v>3236.3910000000001</v>
      </c>
      <c r="AX140">
        <v>3287.7730000000001</v>
      </c>
      <c r="AY140">
        <v>282.79000000000002</v>
      </c>
      <c r="AZ140">
        <v>2454.8710000000001</v>
      </c>
      <c r="BA140">
        <v>3769.98</v>
      </c>
      <c r="BB140">
        <v>2.82</v>
      </c>
      <c r="BC140">
        <v>165.86799999999999</v>
      </c>
      <c r="BD140">
        <v>164.11500000000001</v>
      </c>
      <c r="BE140">
        <v>35.723999999999997</v>
      </c>
      <c r="BF140">
        <v>90</v>
      </c>
      <c r="BG140">
        <v>0.97862595419847331</v>
      </c>
      <c r="BH140">
        <v>361.47500000000002</v>
      </c>
      <c r="BI140">
        <v>0.85992366412213739</v>
      </c>
      <c r="BJ140">
        <v>6.4790000000000001</v>
      </c>
      <c r="BK140">
        <v>-25.564</v>
      </c>
      <c r="BL140">
        <v>332.154</v>
      </c>
      <c r="BM140">
        <v>311.93599999999998</v>
      </c>
      <c r="BN140">
        <v>34.826000000000001</v>
      </c>
      <c r="BO140">
        <v>311.93599999999998</v>
      </c>
      <c r="BP140">
        <v>467.90499999999997</v>
      </c>
      <c r="BQ140">
        <v>1289.92</v>
      </c>
      <c r="BR140">
        <v>1208.7529999999999</v>
      </c>
      <c r="BS140">
        <v>235.733</v>
      </c>
      <c r="BT140">
        <v>1013.793</v>
      </c>
      <c r="BU140">
        <v>1910.61</v>
      </c>
      <c r="BV140">
        <v>2878.848</v>
      </c>
      <c r="BW140">
        <v>2846.4189999999999</v>
      </c>
      <c r="BX140">
        <v>195.04400000000001</v>
      </c>
      <c r="BY140">
        <v>2534.4830000000002</v>
      </c>
      <c r="BZ140">
        <v>3704.2440000000001</v>
      </c>
      <c r="CA140">
        <v>2.62</v>
      </c>
    </row>
    <row r="141" spans="1:84" x14ac:dyDescent="0.35">
      <c r="A141" t="s">
        <v>405</v>
      </c>
      <c r="B141" t="str">
        <f t="shared" si="9"/>
        <v xml:space="preserve"> vi_ma_2004_06_14_505</v>
      </c>
      <c r="C141" s="1">
        <f t="shared" si="10"/>
        <v>45761</v>
      </c>
      <c r="D141" t="s">
        <v>78</v>
      </c>
      <c r="E141">
        <v>205.91</v>
      </c>
      <c r="F141">
        <v>205.66300000000001</v>
      </c>
      <c r="G141">
        <v>2.83</v>
      </c>
      <c r="H141">
        <v>196.875</v>
      </c>
      <c r="I141">
        <v>0.99343749999999986</v>
      </c>
      <c r="J141">
        <v>217.70099999999999</v>
      </c>
      <c r="K141">
        <v>1.2812499999999999E-2</v>
      </c>
      <c r="L141">
        <v>0.45300000000000001</v>
      </c>
      <c r="M141">
        <v>-20.266999999999999</v>
      </c>
      <c r="N141">
        <v>776.92499999999995</v>
      </c>
      <c r="O141">
        <v>795.49</v>
      </c>
      <c r="P141">
        <v>59.515000000000001</v>
      </c>
      <c r="Q141">
        <v>546.9</v>
      </c>
      <c r="R141">
        <v>894.92700000000002</v>
      </c>
      <c r="S141">
        <v>1001.4059999999999</v>
      </c>
      <c r="T141">
        <v>994.36300000000006</v>
      </c>
      <c r="U141">
        <v>26.806000000000001</v>
      </c>
      <c r="V141">
        <v>994.36300000000006</v>
      </c>
      <c r="W141">
        <v>1143.5170000000001</v>
      </c>
      <c r="X141">
        <v>3055.4639999999999</v>
      </c>
      <c r="Y141">
        <v>3032.8069999999998</v>
      </c>
      <c r="Z141">
        <v>97.451999999999998</v>
      </c>
      <c r="AA141">
        <v>2883.6529999999998</v>
      </c>
      <c r="AB141">
        <v>3480.2710000000002</v>
      </c>
      <c r="AC141">
        <v>3.2</v>
      </c>
      <c r="AD141">
        <v>208.23400000000001</v>
      </c>
      <c r="AE141">
        <v>206.62700000000001</v>
      </c>
      <c r="AF141">
        <v>6.6079999999999997</v>
      </c>
      <c r="AG141">
        <v>202.82499999999999</v>
      </c>
      <c r="AH141">
        <v>0.92620967741935489</v>
      </c>
      <c r="AI141">
        <v>245.58500000000001</v>
      </c>
      <c r="AJ141">
        <v>8.0645161290322578E-3</v>
      </c>
      <c r="AK141">
        <v>0.61699999999999999</v>
      </c>
      <c r="AL141">
        <v>-29.619</v>
      </c>
      <c r="AM141">
        <v>301.77600000000001</v>
      </c>
      <c r="AN141">
        <v>302.74599999999998</v>
      </c>
      <c r="AO141">
        <v>9896</v>
      </c>
      <c r="AP141">
        <v>252.28800000000001</v>
      </c>
      <c r="AQ141">
        <v>353.20400000000001</v>
      </c>
      <c r="AR141">
        <v>2468.3890000000001</v>
      </c>
      <c r="AS141">
        <v>2472.4259999999999</v>
      </c>
      <c r="AT141">
        <v>69.414000000000001</v>
      </c>
      <c r="AU141">
        <v>2371.5100000000002</v>
      </c>
      <c r="AV141">
        <v>2623.799</v>
      </c>
      <c r="AW141">
        <v>3184.53</v>
      </c>
      <c r="AX141">
        <v>3178.8330000000001</v>
      </c>
      <c r="AY141">
        <v>90.584000000000003</v>
      </c>
      <c r="AZ141">
        <v>2724.7139999999999</v>
      </c>
      <c r="BA141">
        <v>3431.1210000000001</v>
      </c>
      <c r="BB141">
        <v>2.48</v>
      </c>
      <c r="BC141">
        <v>209.80099999999999</v>
      </c>
      <c r="BD141">
        <v>207.529</v>
      </c>
      <c r="BE141">
        <v>7.5049999999999999</v>
      </c>
      <c r="BF141">
        <v>202.69200000000001</v>
      </c>
      <c r="BG141">
        <v>0.98835616438356166</v>
      </c>
      <c r="BH141">
        <v>251.38399999999999</v>
      </c>
      <c r="BI141">
        <v>6.8493150684931512E-3</v>
      </c>
      <c r="BJ141">
        <v>0.41099999999999998</v>
      </c>
      <c r="BK141">
        <v>-31.215</v>
      </c>
      <c r="BL141">
        <v>402.50900000000001</v>
      </c>
      <c r="BM141">
        <v>404.58699999999999</v>
      </c>
      <c r="BN141">
        <v>15.576000000000001</v>
      </c>
      <c r="BO141">
        <v>303.44</v>
      </c>
      <c r="BP141">
        <v>455.161</v>
      </c>
      <c r="BQ141">
        <v>965.49199999999996</v>
      </c>
      <c r="BR141">
        <v>960.89400000000001</v>
      </c>
      <c r="BS141">
        <v>35.433999999999997</v>
      </c>
      <c r="BT141">
        <v>910.32100000000003</v>
      </c>
      <c r="BU141">
        <v>1011.468</v>
      </c>
      <c r="BV141">
        <v>3545.68</v>
      </c>
      <c r="BW141">
        <v>3540.1379999999999</v>
      </c>
      <c r="BX141">
        <v>145.988</v>
      </c>
      <c r="BY141">
        <v>3287.2710000000002</v>
      </c>
      <c r="BZ141">
        <v>4248.165</v>
      </c>
      <c r="CA141">
        <v>2.92</v>
      </c>
      <c r="CB141">
        <v>8</v>
      </c>
      <c r="CC141">
        <v>5</v>
      </c>
      <c r="CD141">
        <v>0</v>
      </c>
      <c r="CE141">
        <v>4</v>
      </c>
      <c r="CF141">
        <v>2</v>
      </c>
    </row>
    <row r="142" spans="1:84" x14ac:dyDescent="0.35">
      <c r="A142" t="s">
        <v>406</v>
      </c>
      <c r="B142" t="str">
        <f t="shared" si="9"/>
        <v xml:space="preserve"> vi_pi_2005_08_23_271</v>
      </c>
      <c r="C142" s="1">
        <f t="shared" si="10"/>
        <v>45761</v>
      </c>
      <c r="D142" t="s">
        <v>78</v>
      </c>
      <c r="E142">
        <v>208.30699999999999</v>
      </c>
      <c r="F142">
        <v>206.90299999999999</v>
      </c>
      <c r="G142">
        <v>12.475</v>
      </c>
      <c r="H142">
        <v>196.374</v>
      </c>
      <c r="I142">
        <v>0.21052631578947367</v>
      </c>
      <c r="J142">
        <v>299.41800000000001</v>
      </c>
      <c r="K142">
        <v>0</v>
      </c>
      <c r="L142">
        <v>0.93400000000000005</v>
      </c>
      <c r="M142">
        <v>-28.231000000000002</v>
      </c>
      <c r="N142">
        <v>650.10799999999995</v>
      </c>
      <c r="O142">
        <v>607.577</v>
      </c>
      <c r="P142">
        <v>115.349</v>
      </c>
      <c r="Q142">
        <v>455.68299999999999</v>
      </c>
      <c r="R142">
        <v>1012.629</v>
      </c>
      <c r="S142">
        <v>1232.7070000000001</v>
      </c>
      <c r="T142">
        <v>1265.7860000000001</v>
      </c>
      <c r="U142">
        <v>107.72499999999999</v>
      </c>
      <c r="V142">
        <v>1012.629</v>
      </c>
      <c r="W142">
        <v>1468.3119999999999</v>
      </c>
      <c r="X142">
        <v>2451.913</v>
      </c>
      <c r="Y142">
        <v>2430.31</v>
      </c>
      <c r="Z142">
        <v>139.32599999999999</v>
      </c>
      <c r="AA142">
        <v>2329.047</v>
      </c>
      <c r="AB142">
        <v>3291.0450000000001</v>
      </c>
      <c r="AC142">
        <v>1.52</v>
      </c>
      <c r="AD142">
        <v>208.65899999999999</v>
      </c>
      <c r="AE142">
        <v>208.3</v>
      </c>
      <c r="AF142">
        <v>3.4729999999999999</v>
      </c>
      <c r="AG142">
        <v>198.649</v>
      </c>
      <c r="AH142">
        <v>0.97499999999999998</v>
      </c>
      <c r="AI142">
        <v>228.83600000000001</v>
      </c>
      <c r="AJ142">
        <v>1.3157894736842105E-2</v>
      </c>
      <c r="AK142">
        <v>0.59299999999999997</v>
      </c>
      <c r="AL142">
        <v>-30.529</v>
      </c>
      <c r="AM142">
        <v>347.78</v>
      </c>
      <c r="AN142">
        <v>354.42</v>
      </c>
      <c r="AO142">
        <v>17.233000000000001</v>
      </c>
      <c r="AP142">
        <v>303.78899999999999</v>
      </c>
      <c r="AQ142">
        <v>354.42</v>
      </c>
      <c r="AR142">
        <v>2521.5889999999999</v>
      </c>
      <c r="AS142">
        <v>2531.5729999999999</v>
      </c>
      <c r="AT142">
        <v>97.06</v>
      </c>
      <c r="AU142">
        <v>1873.364</v>
      </c>
      <c r="AV142">
        <v>2632.8359999999998</v>
      </c>
      <c r="AW142">
        <v>3497.6210000000001</v>
      </c>
      <c r="AX142">
        <v>3544.2020000000002</v>
      </c>
      <c r="AY142">
        <v>123.67400000000001</v>
      </c>
      <c r="AZ142">
        <v>3139.15</v>
      </c>
      <c r="BA142">
        <v>3797.3589999999999</v>
      </c>
      <c r="BB142">
        <v>1.52</v>
      </c>
      <c r="BC142">
        <v>206.905</v>
      </c>
      <c r="BD142">
        <v>206.21199999999999</v>
      </c>
      <c r="BE142">
        <v>3.01</v>
      </c>
      <c r="BF142">
        <v>193.42099999999999</v>
      </c>
      <c r="BG142">
        <v>0.9993749999999999</v>
      </c>
      <c r="BH142">
        <v>214.375</v>
      </c>
      <c r="BI142">
        <v>3.7499999999999999E-2</v>
      </c>
      <c r="BJ142">
        <v>0.41599999999999998</v>
      </c>
      <c r="BK142">
        <v>-29.937000000000001</v>
      </c>
      <c r="BL142">
        <v>352.298</v>
      </c>
      <c r="BM142">
        <v>350.39699999999999</v>
      </c>
      <c r="BN142">
        <v>12.528</v>
      </c>
      <c r="BO142">
        <v>350.39699999999999</v>
      </c>
      <c r="BP142">
        <v>450.51100000000002</v>
      </c>
      <c r="BQ142">
        <v>1042.8489999999999</v>
      </c>
      <c r="BR142">
        <v>1001.135</v>
      </c>
      <c r="BS142">
        <v>118.52</v>
      </c>
      <c r="BT142">
        <v>951.07799999999997</v>
      </c>
      <c r="BU142">
        <v>1401.5889999999999</v>
      </c>
      <c r="BV142">
        <v>3761.2260000000001</v>
      </c>
      <c r="BW142">
        <v>3754.2570000000001</v>
      </c>
      <c r="BX142">
        <v>152.238</v>
      </c>
      <c r="BY142">
        <v>3003.4050000000002</v>
      </c>
      <c r="BZ142">
        <v>3954.4839999999999</v>
      </c>
      <c r="CA142">
        <v>1.6</v>
      </c>
      <c r="CB142">
        <v>2</v>
      </c>
      <c r="CC142">
        <v>0</v>
      </c>
      <c r="CD142">
        <v>0</v>
      </c>
      <c r="CE142">
        <v>0</v>
      </c>
      <c r="CF142">
        <v>1</v>
      </c>
    </row>
  </sheetData>
  <sortState xmlns:xlrd2="http://schemas.microsoft.com/office/spreadsheetml/2017/richdata2" ref="A2:CA142">
    <sortCondition ref="B2:B14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24226-093E-46A6-9E49-154ACD5D93D1}">
  <dimension ref="A1:CF142"/>
  <sheetViews>
    <sheetView tabSelected="1" topLeftCell="AO1" workbookViewId="0">
      <selection activeCell="CB1" sqref="CB1:CF1048576"/>
    </sheetView>
  </sheetViews>
  <sheetFormatPr defaultRowHeight="14.5" x14ac:dyDescent="0.35"/>
  <cols>
    <col min="1" max="1" width="57.1796875" bestFit="1" customWidth="1"/>
    <col min="2" max="3" width="22" customWidth="1"/>
    <col min="80" max="84" width="22.1796875" customWidth="1"/>
  </cols>
  <sheetData>
    <row r="1" spans="1:84" x14ac:dyDescent="0.35">
      <c r="A1" t="s">
        <v>0</v>
      </c>
      <c r="B1" t="s">
        <v>552</v>
      </c>
      <c r="C1" t="s">
        <v>553</v>
      </c>
      <c r="D1" t="s">
        <v>1</v>
      </c>
      <c r="E1" t="s">
        <v>219</v>
      </c>
      <c r="F1" t="s">
        <v>220</v>
      </c>
      <c r="G1" t="s">
        <v>221</v>
      </c>
      <c r="H1" t="s">
        <v>222</v>
      </c>
      <c r="I1" t="s">
        <v>6</v>
      </c>
      <c r="J1" t="s">
        <v>223</v>
      </c>
      <c r="K1" t="s">
        <v>8</v>
      </c>
      <c r="L1" t="s">
        <v>9</v>
      </c>
      <c r="M1" t="s">
        <v>10</v>
      </c>
      <c r="N1" t="s">
        <v>224</v>
      </c>
      <c r="O1" t="s">
        <v>12</v>
      </c>
      <c r="P1" t="s">
        <v>225</v>
      </c>
      <c r="Q1" t="s">
        <v>226</v>
      </c>
      <c r="R1" t="s">
        <v>227</v>
      </c>
      <c r="S1" t="s">
        <v>228</v>
      </c>
      <c r="T1" t="s">
        <v>17</v>
      </c>
      <c r="U1" t="s">
        <v>229</v>
      </c>
      <c r="V1" t="s">
        <v>230</v>
      </c>
      <c r="W1" t="s">
        <v>231</v>
      </c>
      <c r="X1" t="s">
        <v>232</v>
      </c>
      <c r="Y1" t="s">
        <v>22</v>
      </c>
      <c r="Z1" t="s">
        <v>233</v>
      </c>
      <c r="AA1" t="s">
        <v>234</v>
      </c>
      <c r="AB1" t="s">
        <v>235</v>
      </c>
      <c r="AC1" t="s">
        <v>26</v>
      </c>
      <c r="AD1" t="s">
        <v>236</v>
      </c>
      <c r="AE1" t="s">
        <v>237</v>
      </c>
      <c r="AF1" t="s">
        <v>238</v>
      </c>
      <c r="AG1" t="s">
        <v>239</v>
      </c>
      <c r="AH1" t="s">
        <v>31</v>
      </c>
      <c r="AI1" t="s">
        <v>240</v>
      </c>
      <c r="AJ1" t="s">
        <v>33</v>
      </c>
      <c r="AK1" t="s">
        <v>34</v>
      </c>
      <c r="AL1" t="s">
        <v>35</v>
      </c>
      <c r="AM1" t="s">
        <v>241</v>
      </c>
      <c r="AN1" t="s">
        <v>37</v>
      </c>
      <c r="AO1" t="s">
        <v>242</v>
      </c>
      <c r="AP1" t="s">
        <v>243</v>
      </c>
      <c r="AQ1" t="s">
        <v>244</v>
      </c>
      <c r="AR1" t="s">
        <v>245</v>
      </c>
      <c r="AS1" t="s">
        <v>42</v>
      </c>
      <c r="AT1" t="s">
        <v>246</v>
      </c>
      <c r="AU1" t="s">
        <v>247</v>
      </c>
      <c r="AV1" t="s">
        <v>248</v>
      </c>
      <c r="AW1" t="s">
        <v>249</v>
      </c>
      <c r="AX1" t="s">
        <v>47</v>
      </c>
      <c r="AY1" t="s">
        <v>250</v>
      </c>
      <c r="AZ1" t="s">
        <v>251</v>
      </c>
      <c r="BA1" t="s">
        <v>252</v>
      </c>
      <c r="BB1" t="s">
        <v>51</v>
      </c>
      <c r="BC1" t="s">
        <v>253</v>
      </c>
      <c r="BD1" t="s">
        <v>254</v>
      </c>
      <c r="BE1" t="s">
        <v>255</v>
      </c>
      <c r="BF1" t="s">
        <v>256</v>
      </c>
      <c r="BG1" t="s">
        <v>56</v>
      </c>
      <c r="BH1" t="s">
        <v>257</v>
      </c>
      <c r="BI1" t="s">
        <v>58</v>
      </c>
      <c r="BJ1" t="s">
        <v>59</v>
      </c>
      <c r="BK1" t="s">
        <v>60</v>
      </c>
      <c r="BL1" t="s">
        <v>258</v>
      </c>
      <c r="BM1" t="s">
        <v>62</v>
      </c>
      <c r="BN1" t="s">
        <v>259</v>
      </c>
      <c r="BO1" t="s">
        <v>260</v>
      </c>
      <c r="BP1" t="s">
        <v>261</v>
      </c>
      <c r="BQ1" t="s">
        <v>262</v>
      </c>
      <c r="BR1" t="s">
        <v>67</v>
      </c>
      <c r="BS1" t="s">
        <v>263</v>
      </c>
      <c r="BT1" t="s">
        <v>264</v>
      </c>
      <c r="BU1" t="s">
        <v>265</v>
      </c>
      <c r="BV1" t="s">
        <v>266</v>
      </c>
      <c r="BW1" t="s">
        <v>72</v>
      </c>
      <c r="BX1" t="s">
        <v>267</v>
      </c>
      <c r="BY1" t="s">
        <v>268</v>
      </c>
      <c r="BZ1" t="s">
        <v>269</v>
      </c>
      <c r="CA1" t="s">
        <v>76</v>
      </c>
      <c r="CB1" t="s">
        <v>554</v>
      </c>
      <c r="CC1" t="s">
        <v>555</v>
      </c>
      <c r="CD1" t="s">
        <v>556</v>
      </c>
      <c r="CE1" t="s">
        <v>557</v>
      </c>
      <c r="CF1" t="s">
        <v>558</v>
      </c>
    </row>
    <row r="2" spans="1:84" x14ac:dyDescent="0.35">
      <c r="A2" t="s">
        <v>416</v>
      </c>
      <c r="B2" t="str">
        <f t="shared" ref="B2:B13" si="0">_xlfn.TEXTAFTER(A2,"-")</f>
        <v xml:space="preserve"> ad_pa_2006_01_27_630</v>
      </c>
      <c r="C2" s="1">
        <f t="shared" ref="C2:C33" si="1">DATEVALUE(SUBSTITUTE(_xlfn.TEXTAFTER(_xlfn.TEXTBEFORE(A2," -"),"a2_"),"_","/"))</f>
        <v>45762</v>
      </c>
      <c r="D2" t="s">
        <v>78</v>
      </c>
      <c r="E2">
        <v>189.50299999999999</v>
      </c>
      <c r="F2">
        <v>190.08600000000001</v>
      </c>
      <c r="G2">
        <v>2.6880000000000002</v>
      </c>
      <c r="H2">
        <v>175.797</v>
      </c>
      <c r="I2">
        <v>8.7999999999999988E-3</v>
      </c>
      <c r="J2">
        <v>192.93799999999999</v>
      </c>
      <c r="K2">
        <v>0.9516</v>
      </c>
      <c r="L2">
        <v>0.41</v>
      </c>
      <c r="M2">
        <v>-28.602</v>
      </c>
      <c r="N2">
        <v>736.45799999999997</v>
      </c>
      <c r="O2">
        <v>725.92600000000004</v>
      </c>
      <c r="P2">
        <v>43.055999999999997</v>
      </c>
      <c r="Q2">
        <v>680.55600000000004</v>
      </c>
      <c r="R2">
        <v>952.77800000000002</v>
      </c>
      <c r="S2">
        <v>1099.0160000000001</v>
      </c>
      <c r="T2">
        <v>1088.8889999999999</v>
      </c>
      <c r="U2">
        <v>41.174999999999997</v>
      </c>
      <c r="V2">
        <v>998.14800000000002</v>
      </c>
      <c r="W2">
        <v>1225</v>
      </c>
      <c r="X2">
        <v>2812.1529999999998</v>
      </c>
      <c r="Y2">
        <v>2812.9630000000002</v>
      </c>
      <c r="Z2">
        <v>105.30500000000001</v>
      </c>
      <c r="AA2">
        <v>2586.1109999999999</v>
      </c>
      <c r="AB2">
        <v>3085.1849999999999</v>
      </c>
      <c r="AC2">
        <v>2.5</v>
      </c>
      <c r="AD2">
        <v>188.38399999999999</v>
      </c>
      <c r="AE2">
        <v>188.69200000000001</v>
      </c>
      <c r="AF2">
        <v>2.4769999999999999</v>
      </c>
      <c r="AG2">
        <v>182.124</v>
      </c>
      <c r="AH2">
        <v>0.88579881656804738</v>
      </c>
      <c r="AI2">
        <v>195.38</v>
      </c>
      <c r="AJ2">
        <v>0.99260355029585801</v>
      </c>
      <c r="AK2">
        <v>0.313</v>
      </c>
      <c r="AL2">
        <v>-28.844999999999999</v>
      </c>
      <c r="AM2">
        <v>356.70800000000003</v>
      </c>
      <c r="AN2">
        <v>357.447</v>
      </c>
      <c r="AO2">
        <v>8124</v>
      </c>
      <c r="AP2">
        <v>312.76600000000002</v>
      </c>
      <c r="AQ2">
        <v>402.12799999999999</v>
      </c>
      <c r="AR2">
        <v>2466.3829999999998</v>
      </c>
      <c r="AS2">
        <v>2502.1280000000002</v>
      </c>
      <c r="AT2">
        <v>84.881</v>
      </c>
      <c r="AU2">
        <v>1876.596</v>
      </c>
      <c r="AV2">
        <v>2546.8090000000002</v>
      </c>
      <c r="AW2">
        <v>3289.1060000000002</v>
      </c>
      <c r="AX2">
        <v>3261.7020000000002</v>
      </c>
      <c r="AY2">
        <v>211.15100000000001</v>
      </c>
      <c r="AZ2">
        <v>2993.6170000000002</v>
      </c>
      <c r="BA2">
        <v>3976.596</v>
      </c>
      <c r="BB2">
        <v>3.38</v>
      </c>
      <c r="BC2">
        <v>190.816</v>
      </c>
      <c r="BD2">
        <v>187.774</v>
      </c>
      <c r="BE2">
        <v>18.594999999999999</v>
      </c>
      <c r="BF2">
        <v>182.447</v>
      </c>
      <c r="BG2">
        <v>0.77519379844961234</v>
      </c>
      <c r="BH2">
        <v>324.26499999999999</v>
      </c>
      <c r="BI2">
        <v>8.5271317829457363E-3</v>
      </c>
      <c r="BJ2">
        <v>0.80500000000000005</v>
      </c>
      <c r="BK2">
        <v>-28.919</v>
      </c>
      <c r="BL2">
        <v>363.72800000000001</v>
      </c>
      <c r="BM2">
        <v>363.33699999999999</v>
      </c>
      <c r="BN2">
        <v>9462</v>
      </c>
      <c r="BO2">
        <v>317.92</v>
      </c>
      <c r="BP2">
        <v>454.17099999999999</v>
      </c>
      <c r="BQ2">
        <v>1045.434</v>
      </c>
      <c r="BR2">
        <v>1044.5930000000001</v>
      </c>
      <c r="BS2">
        <v>73.015000000000001</v>
      </c>
      <c r="BT2">
        <v>999.17600000000004</v>
      </c>
      <c r="BU2">
        <v>1544.181</v>
      </c>
      <c r="BV2">
        <v>3294.306</v>
      </c>
      <c r="BW2">
        <v>3270.0309999999999</v>
      </c>
      <c r="BX2">
        <v>206.99799999999999</v>
      </c>
      <c r="BY2">
        <v>2815.86</v>
      </c>
      <c r="BZ2">
        <v>4087.5390000000002</v>
      </c>
      <c r="CA2">
        <v>2.58</v>
      </c>
      <c r="CB2">
        <v>0</v>
      </c>
      <c r="CC2">
        <v>0</v>
      </c>
      <c r="CD2">
        <v>1</v>
      </c>
      <c r="CE2">
        <v>2</v>
      </c>
      <c r="CF2">
        <v>0</v>
      </c>
    </row>
    <row r="3" spans="1:84" x14ac:dyDescent="0.35">
      <c r="A3" t="s">
        <v>417</v>
      </c>
      <c r="B3" t="str">
        <f t="shared" si="0"/>
        <v xml:space="preserve"> ag_te_2004_05_26_499</v>
      </c>
      <c r="C3" s="1">
        <f t="shared" si="1"/>
        <v>45762</v>
      </c>
      <c r="D3" t="s">
        <v>78</v>
      </c>
      <c r="E3">
        <v>249.73099999999999</v>
      </c>
      <c r="F3">
        <v>250.36500000000001</v>
      </c>
      <c r="G3">
        <v>4.9459999999999997</v>
      </c>
      <c r="H3">
        <v>233.864</v>
      </c>
      <c r="I3">
        <v>1.432748538011696E-2</v>
      </c>
      <c r="J3">
        <v>286.89600000000002</v>
      </c>
      <c r="K3">
        <v>0</v>
      </c>
      <c r="L3">
        <v>0.372</v>
      </c>
      <c r="M3">
        <v>-32.249000000000002</v>
      </c>
      <c r="N3">
        <v>555.94200000000001</v>
      </c>
      <c r="O3">
        <v>548.96299999999997</v>
      </c>
      <c r="P3">
        <v>89.268000000000001</v>
      </c>
      <c r="Q3">
        <v>304.97899999999998</v>
      </c>
      <c r="R3">
        <v>975.93399999999997</v>
      </c>
      <c r="S3">
        <v>1119.731</v>
      </c>
      <c r="T3">
        <v>1097.925</v>
      </c>
      <c r="U3">
        <v>97.24</v>
      </c>
      <c r="V3">
        <v>1036.9290000000001</v>
      </c>
      <c r="W3">
        <v>1707.884</v>
      </c>
      <c r="X3">
        <v>2603.9630000000002</v>
      </c>
      <c r="Y3">
        <v>2561.826</v>
      </c>
      <c r="Z3">
        <v>241.61099999999999</v>
      </c>
      <c r="AA3">
        <v>2134.855</v>
      </c>
      <c r="AB3">
        <v>4696.68</v>
      </c>
      <c r="AC3">
        <v>3.42</v>
      </c>
      <c r="AD3">
        <v>251.83099999999999</v>
      </c>
      <c r="AE3">
        <v>252</v>
      </c>
      <c r="AF3">
        <v>4.04</v>
      </c>
      <c r="AG3">
        <v>222.727</v>
      </c>
      <c r="AH3">
        <v>0</v>
      </c>
      <c r="AI3">
        <v>264.97899999999998</v>
      </c>
      <c r="AJ3">
        <v>0.9907258064516129</v>
      </c>
      <c r="AK3">
        <v>0.33500000000000002</v>
      </c>
      <c r="AL3">
        <v>-32.436999999999998</v>
      </c>
      <c r="AM3">
        <v>323.072</v>
      </c>
      <c r="AN3">
        <v>307.10300000000001</v>
      </c>
      <c r="AO3">
        <v>31.367000000000001</v>
      </c>
      <c r="AP3">
        <v>245.68199999999999</v>
      </c>
      <c r="AQ3">
        <v>368.524</v>
      </c>
      <c r="AR3">
        <v>2085.7420000000002</v>
      </c>
      <c r="AS3">
        <v>2241.8519999999999</v>
      </c>
      <c r="AT3">
        <v>311.33600000000001</v>
      </c>
      <c r="AU3">
        <v>1535.5150000000001</v>
      </c>
      <c r="AV3">
        <v>2395.404</v>
      </c>
      <c r="AW3">
        <v>3263.0210000000002</v>
      </c>
      <c r="AX3">
        <v>3255.2919999999999</v>
      </c>
      <c r="AY3">
        <v>141.899</v>
      </c>
      <c r="AZ3">
        <v>2763.9279999999999</v>
      </c>
      <c r="BA3">
        <v>3562.3960000000002</v>
      </c>
      <c r="BB3">
        <v>2.48</v>
      </c>
      <c r="BC3">
        <v>257.15199999999999</v>
      </c>
      <c r="BD3">
        <v>259.19400000000002</v>
      </c>
      <c r="BE3">
        <v>15.26</v>
      </c>
      <c r="BF3">
        <v>115.273</v>
      </c>
      <c r="BG3">
        <v>0</v>
      </c>
      <c r="BH3">
        <v>263.17099999999999</v>
      </c>
      <c r="BI3">
        <v>0.13344827586206898</v>
      </c>
      <c r="BJ3">
        <v>0.82299999999999995</v>
      </c>
      <c r="BK3">
        <v>-31.710999999999999</v>
      </c>
      <c r="BL3">
        <v>451.90899999999999</v>
      </c>
      <c r="BM3">
        <v>437.25200000000001</v>
      </c>
      <c r="BN3">
        <v>28.916</v>
      </c>
      <c r="BO3">
        <v>312.32299999999998</v>
      </c>
      <c r="BP3">
        <v>499.71699999999998</v>
      </c>
      <c r="BQ3">
        <v>1009.1180000000001</v>
      </c>
      <c r="BR3">
        <v>999.43299999999999</v>
      </c>
      <c r="BS3">
        <v>27.55</v>
      </c>
      <c r="BT3">
        <v>936.96900000000005</v>
      </c>
      <c r="BU3">
        <v>1186.827</v>
      </c>
      <c r="BV3">
        <v>4303.4260000000004</v>
      </c>
      <c r="BW3">
        <v>4310.0569999999998</v>
      </c>
      <c r="BX3">
        <v>148.12799999999999</v>
      </c>
      <c r="BY3">
        <v>3935.2689999999998</v>
      </c>
      <c r="BZ3">
        <v>4809.7730000000001</v>
      </c>
      <c r="CA3">
        <v>2.9</v>
      </c>
    </row>
    <row r="4" spans="1:84" x14ac:dyDescent="0.35">
      <c r="A4" t="s">
        <v>418</v>
      </c>
      <c r="B4" t="str">
        <f t="shared" si="0"/>
        <v xml:space="preserve"> al_bo_2002_07_25_563</v>
      </c>
      <c r="C4" s="1">
        <f t="shared" si="1"/>
        <v>45762</v>
      </c>
      <c r="D4" t="s">
        <v>78</v>
      </c>
      <c r="E4">
        <v>159.309</v>
      </c>
      <c r="F4">
        <v>159.535</v>
      </c>
      <c r="G4">
        <v>2.956</v>
      </c>
      <c r="H4">
        <v>150.80600000000001</v>
      </c>
      <c r="I4">
        <v>9.1379310344827588E-2</v>
      </c>
      <c r="J4">
        <v>173.03800000000001</v>
      </c>
      <c r="K4">
        <v>1.1637931034482759E-2</v>
      </c>
      <c r="L4">
        <v>0.67800000000000005</v>
      </c>
      <c r="M4">
        <v>-25.794</v>
      </c>
      <c r="N4">
        <v>407.88299999999998</v>
      </c>
      <c r="O4">
        <v>381.15800000000002</v>
      </c>
      <c r="P4">
        <v>77.792000000000002</v>
      </c>
      <c r="Q4">
        <v>304.92700000000002</v>
      </c>
      <c r="R4">
        <v>991.01099999999997</v>
      </c>
      <c r="S4">
        <v>1133.818</v>
      </c>
      <c r="T4">
        <v>1105.3589999999999</v>
      </c>
      <c r="U4">
        <v>44.790999999999997</v>
      </c>
      <c r="V4">
        <v>1067.2429999999999</v>
      </c>
      <c r="W4">
        <v>1334.0540000000001</v>
      </c>
      <c r="X4">
        <v>4257.5810000000001</v>
      </c>
      <c r="Y4">
        <v>4268.9709999999995</v>
      </c>
      <c r="Z4">
        <v>182.62299999999999</v>
      </c>
      <c r="AA4">
        <v>3506.6550000000002</v>
      </c>
      <c r="AB4">
        <v>4650.13</v>
      </c>
      <c r="AC4">
        <v>2.3199999999999998</v>
      </c>
      <c r="AD4">
        <v>161.51400000000001</v>
      </c>
      <c r="AE4">
        <v>160.572</v>
      </c>
      <c r="AF4">
        <v>4.1369999999999996</v>
      </c>
      <c r="AG4">
        <v>157.822</v>
      </c>
      <c r="AH4">
        <v>0.93648648648648647</v>
      </c>
      <c r="AI4">
        <v>186.864</v>
      </c>
      <c r="AJ4">
        <v>0</v>
      </c>
      <c r="AK4">
        <v>0.55000000000000004</v>
      </c>
      <c r="AL4">
        <v>-30.667000000000002</v>
      </c>
      <c r="AM4">
        <v>310.86700000000002</v>
      </c>
      <c r="AN4">
        <v>307.58499999999998</v>
      </c>
      <c r="AO4">
        <v>10.808999999999999</v>
      </c>
      <c r="AP4">
        <v>307.58499999999998</v>
      </c>
      <c r="AQ4">
        <v>346.03300000000002</v>
      </c>
      <c r="AR4">
        <v>1844.309</v>
      </c>
      <c r="AS4">
        <v>1807.0619999999999</v>
      </c>
      <c r="AT4">
        <v>182.53200000000001</v>
      </c>
      <c r="AU4">
        <v>1537.925</v>
      </c>
      <c r="AV4">
        <v>2383.7840000000001</v>
      </c>
      <c r="AW4">
        <v>4233.8710000000001</v>
      </c>
      <c r="AX4">
        <v>4267.7420000000002</v>
      </c>
      <c r="AY4">
        <v>198.07300000000001</v>
      </c>
      <c r="AZ4">
        <v>3421.8829999999998</v>
      </c>
      <c r="BA4">
        <v>4536.8789999999999</v>
      </c>
      <c r="BB4">
        <v>2.2200000000000002</v>
      </c>
      <c r="BC4">
        <v>164.262</v>
      </c>
      <c r="BD4">
        <v>164.11500000000001</v>
      </c>
      <c r="BE4">
        <v>1.925</v>
      </c>
      <c r="BF4">
        <v>160.447</v>
      </c>
      <c r="BG4">
        <v>0.93537735849056602</v>
      </c>
      <c r="BH4">
        <v>174.703</v>
      </c>
      <c r="BI4">
        <v>0</v>
      </c>
      <c r="BJ4">
        <v>0.51200000000000001</v>
      </c>
      <c r="BK4">
        <v>-31.227</v>
      </c>
      <c r="BL4">
        <v>298.33</v>
      </c>
      <c r="BM4">
        <v>314.43900000000002</v>
      </c>
      <c r="BN4">
        <v>19.491</v>
      </c>
      <c r="BO4">
        <v>275.13400000000001</v>
      </c>
      <c r="BP4">
        <v>314.43900000000002</v>
      </c>
      <c r="BQ4">
        <v>1184.5039999999999</v>
      </c>
      <c r="BR4">
        <v>1139.8399999999999</v>
      </c>
      <c r="BS4">
        <v>140.976</v>
      </c>
      <c r="BT4">
        <v>1021.925</v>
      </c>
      <c r="BU4">
        <v>1650.8019999999999</v>
      </c>
      <c r="BV4">
        <v>3523.0529999999999</v>
      </c>
      <c r="BW4">
        <v>3537.433</v>
      </c>
      <c r="BX4">
        <v>154.34399999999999</v>
      </c>
      <c r="BY4">
        <v>3144.3850000000002</v>
      </c>
      <c r="BZ4">
        <v>3812.567</v>
      </c>
      <c r="CA4">
        <v>2.12</v>
      </c>
      <c r="CB4">
        <v>8</v>
      </c>
      <c r="CC4">
        <v>2</v>
      </c>
      <c r="CD4">
        <v>4</v>
      </c>
      <c r="CE4">
        <v>2</v>
      </c>
      <c r="CF4">
        <v>3</v>
      </c>
    </row>
    <row r="5" spans="1:84" x14ac:dyDescent="0.35">
      <c r="A5" t="s">
        <v>419</v>
      </c>
      <c r="B5" t="str">
        <f t="shared" si="0"/>
        <v xml:space="preserve"> al_ca_2001_02_11_269</v>
      </c>
      <c r="C5" s="1">
        <f t="shared" si="1"/>
        <v>45762</v>
      </c>
      <c r="D5" t="s">
        <v>78</v>
      </c>
      <c r="E5">
        <v>189.96199999999999</v>
      </c>
      <c r="F5">
        <v>191.14599999999999</v>
      </c>
      <c r="G5">
        <v>11.917</v>
      </c>
      <c r="H5">
        <v>106.854</v>
      </c>
      <c r="I5">
        <v>0</v>
      </c>
      <c r="J5">
        <v>201.501</v>
      </c>
      <c r="K5">
        <v>1.9166666666666669E-2</v>
      </c>
      <c r="L5">
        <v>1.968</v>
      </c>
      <c r="M5">
        <v>-29.195</v>
      </c>
      <c r="N5">
        <v>520.64400000000001</v>
      </c>
      <c r="O5">
        <v>533.46799999999996</v>
      </c>
      <c r="P5">
        <v>38.712000000000003</v>
      </c>
      <c r="Q5">
        <v>444.55599999999998</v>
      </c>
      <c r="R5">
        <v>577.923</v>
      </c>
      <c r="S5">
        <v>960.00199999999995</v>
      </c>
      <c r="T5">
        <v>978.024</v>
      </c>
      <c r="U5">
        <v>30.475999999999999</v>
      </c>
      <c r="V5">
        <v>933.56899999999996</v>
      </c>
      <c r="W5">
        <v>1066.9349999999999</v>
      </c>
      <c r="X5">
        <v>2737.442</v>
      </c>
      <c r="Y5">
        <v>2734.0219999999999</v>
      </c>
      <c r="Z5">
        <v>108.661</v>
      </c>
      <c r="AA5">
        <v>2445.06</v>
      </c>
      <c r="AB5">
        <v>2978.5279999999998</v>
      </c>
      <c r="AC5">
        <v>1.2</v>
      </c>
      <c r="AD5">
        <v>204.59700000000001</v>
      </c>
      <c r="AE5">
        <v>202.029</v>
      </c>
      <c r="AF5">
        <v>12.561</v>
      </c>
      <c r="AG5">
        <v>197.75800000000001</v>
      </c>
      <c r="AH5">
        <v>0.34492753623188405</v>
      </c>
      <c r="AI5">
        <v>297.97300000000001</v>
      </c>
      <c r="AJ5">
        <v>0</v>
      </c>
      <c r="AK5">
        <v>1.087</v>
      </c>
      <c r="AL5">
        <v>-28.388000000000002</v>
      </c>
      <c r="AM5">
        <v>379.40600000000001</v>
      </c>
      <c r="AN5">
        <v>392.43599999999998</v>
      </c>
      <c r="AO5">
        <v>23.521000000000001</v>
      </c>
      <c r="AP5">
        <v>343.38200000000001</v>
      </c>
      <c r="AQ5">
        <v>441.49099999999999</v>
      </c>
      <c r="AR5">
        <v>2290.8449999999998</v>
      </c>
      <c r="AS5">
        <v>2403.6709999999998</v>
      </c>
      <c r="AT5">
        <v>312.86500000000001</v>
      </c>
      <c r="AU5">
        <v>1471.635</v>
      </c>
      <c r="AV5">
        <v>2501.7800000000002</v>
      </c>
      <c r="AW5">
        <v>3123.88</v>
      </c>
      <c r="AX5">
        <v>3090.4340000000002</v>
      </c>
      <c r="AY5">
        <v>169.52799999999999</v>
      </c>
      <c r="AZ5">
        <v>2894.2159999999999</v>
      </c>
      <c r="BA5">
        <v>4120.5780000000004</v>
      </c>
      <c r="BB5">
        <v>1.38</v>
      </c>
      <c r="BC5">
        <v>198.86</v>
      </c>
      <c r="BD5">
        <v>200.45500000000001</v>
      </c>
      <c r="BE5">
        <v>13.648999999999999</v>
      </c>
      <c r="BF5">
        <v>109.197</v>
      </c>
      <c r="BG5">
        <v>0</v>
      </c>
      <c r="BH5">
        <v>213.04300000000001</v>
      </c>
      <c r="BI5">
        <v>2.1000000000000001E-2</v>
      </c>
      <c r="BJ5">
        <v>2.4359999999999999</v>
      </c>
      <c r="BK5">
        <v>-29.07</v>
      </c>
      <c r="BL5">
        <v>389.67599999999999</v>
      </c>
      <c r="BM5">
        <v>385.57400000000001</v>
      </c>
      <c r="BN5">
        <v>13.593999999999999</v>
      </c>
      <c r="BO5">
        <v>385.57400000000001</v>
      </c>
      <c r="BP5">
        <v>433.77</v>
      </c>
      <c r="BQ5">
        <v>995.51199999999994</v>
      </c>
      <c r="BR5">
        <v>1012.131</v>
      </c>
      <c r="BS5">
        <v>37.055999999999997</v>
      </c>
      <c r="BT5">
        <v>963.93399999999997</v>
      </c>
      <c r="BU5">
        <v>1108.5250000000001</v>
      </c>
      <c r="BV5">
        <v>3331.7269999999999</v>
      </c>
      <c r="BW5">
        <v>3373.77</v>
      </c>
      <c r="BX5">
        <v>185.476</v>
      </c>
      <c r="BY5">
        <v>2554.4259999999999</v>
      </c>
      <c r="BZ5">
        <v>3566.5569999999998</v>
      </c>
      <c r="CA5">
        <v>1</v>
      </c>
    </row>
    <row r="6" spans="1:84" x14ac:dyDescent="0.35">
      <c r="A6" t="s">
        <v>420</v>
      </c>
      <c r="B6" t="str">
        <f t="shared" si="0"/>
        <v xml:space="preserve"> al_lo_1999_09_19_127</v>
      </c>
      <c r="C6" s="1">
        <f t="shared" si="1"/>
        <v>45762</v>
      </c>
      <c r="D6" t="s">
        <v>78</v>
      </c>
      <c r="E6">
        <v>182.714</v>
      </c>
      <c r="F6">
        <v>182.55500000000001</v>
      </c>
      <c r="G6">
        <v>6.3460000000000001</v>
      </c>
      <c r="H6">
        <v>174.30799999999999</v>
      </c>
      <c r="I6">
        <v>3.650793650793651E-2</v>
      </c>
      <c r="J6">
        <v>240.42099999999999</v>
      </c>
      <c r="K6">
        <v>9.1269841269841275E-3</v>
      </c>
      <c r="L6">
        <v>0.67800000000000005</v>
      </c>
      <c r="M6">
        <v>-25.568000000000001</v>
      </c>
      <c r="N6">
        <v>705.89099999999996</v>
      </c>
      <c r="O6">
        <v>698.61400000000003</v>
      </c>
      <c r="P6">
        <v>47.942</v>
      </c>
      <c r="Q6">
        <v>567.62400000000002</v>
      </c>
      <c r="R6">
        <v>916.93100000000004</v>
      </c>
      <c r="S6">
        <v>1201.3430000000001</v>
      </c>
      <c r="T6">
        <v>1178.9110000000001</v>
      </c>
      <c r="U6">
        <v>55.298999999999999</v>
      </c>
      <c r="V6">
        <v>1047.921</v>
      </c>
      <c r="W6">
        <v>1440.8910000000001</v>
      </c>
      <c r="X6">
        <v>2763.6109999999999</v>
      </c>
      <c r="Y6">
        <v>2750.7919999999999</v>
      </c>
      <c r="Z6">
        <v>187.078</v>
      </c>
      <c r="AA6">
        <v>2270.4949999999999</v>
      </c>
      <c r="AB6">
        <v>3842.3760000000002</v>
      </c>
      <c r="AC6">
        <v>2.52</v>
      </c>
      <c r="AD6">
        <v>182.12</v>
      </c>
      <c r="AE6">
        <v>182.017</v>
      </c>
      <c r="AF6">
        <v>6.7549999999999999</v>
      </c>
      <c r="AG6">
        <v>162.13200000000001</v>
      </c>
      <c r="AH6">
        <v>7.4193548387096768E-3</v>
      </c>
      <c r="AI6">
        <v>252.41200000000001</v>
      </c>
      <c r="AJ6">
        <v>0</v>
      </c>
      <c r="AK6">
        <v>0.58699999999999997</v>
      </c>
      <c r="AL6">
        <v>-30.242000000000001</v>
      </c>
      <c r="AM6">
        <v>347.91300000000001</v>
      </c>
      <c r="AN6">
        <v>347.58600000000001</v>
      </c>
      <c r="AO6">
        <v>8.4499999999999993</v>
      </c>
      <c r="AP6">
        <v>304.13799999999998</v>
      </c>
      <c r="AQ6">
        <v>434.483</v>
      </c>
      <c r="AR6">
        <v>2292.4140000000002</v>
      </c>
      <c r="AS6">
        <v>2346.2069999999999</v>
      </c>
      <c r="AT6">
        <v>193.774</v>
      </c>
      <c r="AU6">
        <v>1607.586</v>
      </c>
      <c r="AV6">
        <v>2476.5520000000001</v>
      </c>
      <c r="AW6">
        <v>3715.971</v>
      </c>
      <c r="AX6">
        <v>3736.5520000000001</v>
      </c>
      <c r="AY6">
        <v>98.263000000000005</v>
      </c>
      <c r="AZ6">
        <v>3432.4140000000002</v>
      </c>
      <c r="BA6">
        <v>3997.241</v>
      </c>
      <c r="BB6">
        <v>3.1</v>
      </c>
      <c r="BC6">
        <v>185.24700000000001</v>
      </c>
      <c r="BD6">
        <v>185.79599999999999</v>
      </c>
      <c r="BE6">
        <v>3.2349999999999999</v>
      </c>
      <c r="BF6">
        <v>165.345</v>
      </c>
      <c r="BG6">
        <v>7.5163398692810451E-3</v>
      </c>
      <c r="BH6">
        <v>196.249</v>
      </c>
      <c r="BI6">
        <v>0</v>
      </c>
      <c r="BJ6">
        <v>0.49099999999999999</v>
      </c>
      <c r="BK6">
        <v>-31.283999999999999</v>
      </c>
      <c r="BL6">
        <v>357.21899999999999</v>
      </c>
      <c r="BM6">
        <v>354.57299999999998</v>
      </c>
      <c r="BN6">
        <v>17.829000000000001</v>
      </c>
      <c r="BO6">
        <v>354.57299999999998</v>
      </c>
      <c r="BP6">
        <v>531.85900000000004</v>
      </c>
      <c r="BQ6">
        <v>1019.397</v>
      </c>
      <c r="BR6">
        <v>1019.397</v>
      </c>
      <c r="BS6">
        <v>60.69</v>
      </c>
      <c r="BT6">
        <v>975.07500000000005</v>
      </c>
      <c r="BU6">
        <v>1241.0050000000001</v>
      </c>
      <c r="BV6">
        <v>3477.9229999999998</v>
      </c>
      <c r="BW6">
        <v>3501.4070000000002</v>
      </c>
      <c r="BX6">
        <v>208.149</v>
      </c>
      <c r="BY6">
        <v>2969.5479999999998</v>
      </c>
      <c r="BZ6">
        <v>3944.623</v>
      </c>
      <c r="CA6">
        <v>3.06</v>
      </c>
      <c r="CB6">
        <v>5</v>
      </c>
      <c r="CC6">
        <v>6</v>
      </c>
      <c r="CD6">
        <v>0</v>
      </c>
      <c r="CE6">
        <v>2</v>
      </c>
      <c r="CF6">
        <v>0</v>
      </c>
    </row>
    <row r="7" spans="1:84" x14ac:dyDescent="0.35">
      <c r="A7" t="s">
        <v>421</v>
      </c>
      <c r="B7" t="str">
        <f t="shared" si="0"/>
        <v xml:space="preserve"> al_mi_2004_04_28_724</v>
      </c>
      <c r="C7" s="1">
        <f t="shared" si="1"/>
        <v>45762</v>
      </c>
      <c r="D7" t="s">
        <v>78</v>
      </c>
      <c r="E7">
        <v>207.50399999999999</v>
      </c>
      <c r="F7">
        <v>208.01900000000001</v>
      </c>
      <c r="G7">
        <v>3.77</v>
      </c>
      <c r="H7">
        <v>200.58500000000001</v>
      </c>
      <c r="I7">
        <v>5.1923076923076926E-2</v>
      </c>
      <c r="J7">
        <v>219.40299999999999</v>
      </c>
      <c r="K7">
        <v>1</v>
      </c>
      <c r="L7">
        <v>0.35499999999999998</v>
      </c>
      <c r="M7">
        <v>-30.172999999999998</v>
      </c>
      <c r="N7">
        <v>635.71400000000006</v>
      </c>
      <c r="O7">
        <v>650</v>
      </c>
      <c r="P7">
        <v>78.16</v>
      </c>
      <c r="Q7">
        <v>300</v>
      </c>
      <c r="R7">
        <v>800</v>
      </c>
      <c r="S7">
        <v>1318.421</v>
      </c>
      <c r="T7">
        <v>1300</v>
      </c>
      <c r="U7">
        <v>34.488999999999997</v>
      </c>
      <c r="V7">
        <v>1250</v>
      </c>
      <c r="W7">
        <v>1400</v>
      </c>
      <c r="X7">
        <v>3070.779</v>
      </c>
      <c r="Y7">
        <v>3050</v>
      </c>
      <c r="Z7">
        <v>137.494</v>
      </c>
      <c r="AA7">
        <v>2650</v>
      </c>
      <c r="AB7">
        <v>3350</v>
      </c>
      <c r="AC7">
        <v>1.56</v>
      </c>
      <c r="AD7">
        <v>214.65600000000001</v>
      </c>
      <c r="AE7">
        <v>215.72300000000001</v>
      </c>
      <c r="AF7">
        <v>2.87</v>
      </c>
      <c r="AG7">
        <v>208.72200000000001</v>
      </c>
      <c r="AH7">
        <v>0.23481012658227846</v>
      </c>
      <c r="AI7">
        <v>221.92699999999999</v>
      </c>
      <c r="AJ7">
        <v>1.2658227848101266E-2</v>
      </c>
      <c r="AK7">
        <v>0.3</v>
      </c>
      <c r="AL7">
        <v>-29.552</v>
      </c>
      <c r="AM7">
        <v>364.887</v>
      </c>
      <c r="AN7">
        <v>363.60399999999998</v>
      </c>
      <c r="AO7">
        <v>11.542999999999999</v>
      </c>
      <c r="AP7">
        <v>363.60399999999998</v>
      </c>
      <c r="AQ7">
        <v>467.49099999999999</v>
      </c>
      <c r="AR7">
        <v>2365.7890000000002</v>
      </c>
      <c r="AS7">
        <v>2389.3989999999999</v>
      </c>
      <c r="AT7">
        <v>118.16200000000001</v>
      </c>
      <c r="AU7">
        <v>1506.36</v>
      </c>
      <c r="AV7">
        <v>2441.3429999999998</v>
      </c>
      <c r="AW7">
        <v>3882.2930000000001</v>
      </c>
      <c r="AX7">
        <v>3895.76</v>
      </c>
      <c r="AY7">
        <v>57.36</v>
      </c>
      <c r="AZ7">
        <v>3739.9290000000001</v>
      </c>
      <c r="BA7">
        <v>3999.6469999999999</v>
      </c>
      <c r="BB7">
        <v>1.58</v>
      </c>
      <c r="BC7">
        <v>218.334</v>
      </c>
      <c r="BD7">
        <v>218.471</v>
      </c>
      <c r="BE7">
        <v>4.7779999999999996</v>
      </c>
      <c r="BF7">
        <v>184.96100000000001</v>
      </c>
      <c r="BG7">
        <v>0</v>
      </c>
      <c r="BH7">
        <v>233.51</v>
      </c>
      <c r="BI7">
        <v>0.97532467532467526</v>
      </c>
      <c r="BJ7">
        <v>0.51</v>
      </c>
      <c r="BK7">
        <v>-31.567</v>
      </c>
      <c r="BL7">
        <v>420.33600000000001</v>
      </c>
      <c r="BM7">
        <v>421.00200000000001</v>
      </c>
      <c r="BN7">
        <v>5921</v>
      </c>
      <c r="BO7">
        <v>368.37700000000001</v>
      </c>
      <c r="BP7">
        <v>421.00200000000001</v>
      </c>
      <c r="BQ7">
        <v>1067.5419999999999</v>
      </c>
      <c r="BR7">
        <v>1052.5060000000001</v>
      </c>
      <c r="BS7">
        <v>86.421999999999997</v>
      </c>
      <c r="BT7">
        <v>999.88099999999997</v>
      </c>
      <c r="BU7">
        <v>1368.258</v>
      </c>
      <c r="BV7">
        <v>3982.203</v>
      </c>
      <c r="BW7">
        <v>3999.5230000000001</v>
      </c>
      <c r="BX7">
        <v>167.84399999999999</v>
      </c>
      <c r="BY7">
        <v>3368.0189999999998</v>
      </c>
      <c r="BZ7">
        <v>4157.3990000000003</v>
      </c>
      <c r="CA7">
        <v>1.54</v>
      </c>
      <c r="CB7">
        <v>5</v>
      </c>
      <c r="CC7">
        <v>3</v>
      </c>
      <c r="CD7">
        <v>0</v>
      </c>
      <c r="CE7">
        <v>1</v>
      </c>
      <c r="CF7">
        <v>0</v>
      </c>
    </row>
    <row r="8" spans="1:84" x14ac:dyDescent="0.35">
      <c r="A8" t="s">
        <v>422</v>
      </c>
      <c r="B8" t="str">
        <f t="shared" si="0"/>
        <v xml:space="preserve"> al_mo_2005_10_03_273</v>
      </c>
      <c r="C8" s="1">
        <f t="shared" si="1"/>
        <v>45762</v>
      </c>
      <c r="D8" t="s">
        <v>78</v>
      </c>
      <c r="E8">
        <v>199.34700000000001</v>
      </c>
      <c r="F8">
        <v>197.505</v>
      </c>
      <c r="G8">
        <v>4.2430000000000003</v>
      </c>
      <c r="H8">
        <v>191.501</v>
      </c>
      <c r="I8">
        <v>0.97753623188405803</v>
      </c>
      <c r="J8">
        <v>216.78399999999999</v>
      </c>
      <c r="K8">
        <v>3.0434782608695657E-2</v>
      </c>
      <c r="L8">
        <v>0.45300000000000001</v>
      </c>
      <c r="M8">
        <v>-29.734999999999999</v>
      </c>
      <c r="N8">
        <v>676.33900000000006</v>
      </c>
      <c r="O8">
        <v>685.23900000000003</v>
      </c>
      <c r="P8">
        <v>70.751999999999995</v>
      </c>
      <c r="Q8">
        <v>489.45600000000002</v>
      </c>
      <c r="R8">
        <v>1076.8040000000001</v>
      </c>
      <c r="S8">
        <v>1294.8340000000001</v>
      </c>
      <c r="T8">
        <v>1272.586</v>
      </c>
      <c r="U8">
        <v>92.94</v>
      </c>
      <c r="V8">
        <v>1125.749</v>
      </c>
      <c r="W8">
        <v>1762.0419999999999</v>
      </c>
      <c r="X8">
        <v>2794.35</v>
      </c>
      <c r="Y8">
        <v>2789.9</v>
      </c>
      <c r="Z8">
        <v>146.643</v>
      </c>
      <c r="AA8">
        <v>2300.444</v>
      </c>
      <c r="AB8">
        <v>3132.5189999999998</v>
      </c>
      <c r="AC8">
        <v>1.38</v>
      </c>
      <c r="AD8">
        <v>201.553</v>
      </c>
      <c r="AE8">
        <v>197.37899999999999</v>
      </c>
      <c r="AF8">
        <v>17.420999999999999</v>
      </c>
      <c r="AG8">
        <v>186.751</v>
      </c>
      <c r="AH8">
        <v>0.9609375</v>
      </c>
      <c r="AI8">
        <v>297.113</v>
      </c>
      <c r="AJ8">
        <v>1.6406250000000001E-2</v>
      </c>
      <c r="AK8">
        <v>1.0649999999999999</v>
      </c>
      <c r="AL8">
        <v>-29.16</v>
      </c>
      <c r="AM8">
        <v>356.28300000000002</v>
      </c>
      <c r="AN8">
        <v>341.10500000000002</v>
      </c>
      <c r="AO8">
        <v>24.431000000000001</v>
      </c>
      <c r="AP8">
        <v>292.37599999999998</v>
      </c>
      <c r="AQ8">
        <v>389.834</v>
      </c>
      <c r="AR8">
        <v>2249.6689999999999</v>
      </c>
      <c r="AS8">
        <v>2265.9119999999998</v>
      </c>
      <c r="AT8">
        <v>65.27</v>
      </c>
      <c r="AU8">
        <v>2095.3589999999999</v>
      </c>
      <c r="AV8">
        <v>2339.0059999999999</v>
      </c>
      <c r="AW8">
        <v>3743.3670000000002</v>
      </c>
      <c r="AX8">
        <v>3752.1550000000002</v>
      </c>
      <c r="AY8">
        <v>155.50399999999999</v>
      </c>
      <c r="AZ8">
        <v>3362.32</v>
      </c>
      <c r="BA8">
        <v>4141.9889999999996</v>
      </c>
      <c r="BB8">
        <v>1.28</v>
      </c>
      <c r="BC8">
        <v>203.464</v>
      </c>
      <c r="BD8">
        <v>196.624</v>
      </c>
      <c r="BE8">
        <v>31.443999999999999</v>
      </c>
      <c r="BF8">
        <v>187.88800000000001</v>
      </c>
      <c r="BG8">
        <v>0.96269841269841272</v>
      </c>
      <c r="BH8">
        <v>336.64100000000002</v>
      </c>
      <c r="BI8">
        <v>0</v>
      </c>
      <c r="BJ8">
        <v>1.367</v>
      </c>
      <c r="BK8">
        <v>-27.722999999999999</v>
      </c>
      <c r="BL8">
        <v>378.14800000000002</v>
      </c>
      <c r="BM8">
        <v>375.71899999999999</v>
      </c>
      <c r="BN8">
        <v>18.5</v>
      </c>
      <c r="BO8">
        <v>375.71899999999999</v>
      </c>
      <c r="BP8">
        <v>516.61300000000006</v>
      </c>
      <c r="BQ8">
        <v>1408.9459999999999</v>
      </c>
      <c r="BR8">
        <v>1408.9459999999999</v>
      </c>
      <c r="BS8">
        <v>0</v>
      </c>
      <c r="BT8">
        <v>1408.9459999999999</v>
      </c>
      <c r="BU8">
        <v>1408.9459999999999</v>
      </c>
      <c r="BV8">
        <v>3916.7069999999999</v>
      </c>
      <c r="BW8">
        <v>3898.0830000000001</v>
      </c>
      <c r="BX8">
        <v>141.28899999999999</v>
      </c>
      <c r="BY8">
        <v>3381.47</v>
      </c>
      <c r="BZ8">
        <v>4273.8019999999997</v>
      </c>
      <c r="CA8">
        <v>1.26</v>
      </c>
      <c r="CB8">
        <v>5</v>
      </c>
      <c r="CC8">
        <v>0</v>
      </c>
      <c r="CD8">
        <v>2</v>
      </c>
      <c r="CE8">
        <v>2</v>
      </c>
      <c r="CF8">
        <v>4</v>
      </c>
    </row>
    <row r="9" spans="1:84" x14ac:dyDescent="0.35">
      <c r="A9" t="s">
        <v>423</v>
      </c>
      <c r="B9" t="str">
        <f t="shared" si="0"/>
        <v xml:space="preserve"> al_pe_2001_04_20_079</v>
      </c>
      <c r="C9" s="1">
        <f t="shared" si="1"/>
        <v>45762</v>
      </c>
      <c r="D9" t="s">
        <v>78</v>
      </c>
      <c r="E9">
        <v>179.24700000000001</v>
      </c>
      <c r="F9">
        <v>179.00899999999999</v>
      </c>
      <c r="G9">
        <v>5.1959999999999997</v>
      </c>
      <c r="H9">
        <v>161.708</v>
      </c>
      <c r="I9">
        <v>0.55225988700564976</v>
      </c>
      <c r="J9">
        <v>213.33799999999999</v>
      </c>
      <c r="K9">
        <v>6.7796610169491523E-3</v>
      </c>
      <c r="L9">
        <v>1.4850000000000001</v>
      </c>
      <c r="M9">
        <v>-20.113</v>
      </c>
      <c r="N9">
        <v>637.28499999999997</v>
      </c>
      <c r="O9">
        <v>640.98800000000006</v>
      </c>
      <c r="P9">
        <v>63.002000000000002</v>
      </c>
      <c r="Q9">
        <v>555.52300000000002</v>
      </c>
      <c r="R9">
        <v>1153.779</v>
      </c>
      <c r="S9">
        <v>1037.894</v>
      </c>
      <c r="T9">
        <v>1025.5809999999999</v>
      </c>
      <c r="U9">
        <v>53.261000000000003</v>
      </c>
      <c r="V9">
        <v>982.84900000000005</v>
      </c>
      <c r="W9">
        <v>1281.9770000000001</v>
      </c>
      <c r="X9">
        <v>3238.558</v>
      </c>
      <c r="Y9">
        <v>3247.674</v>
      </c>
      <c r="Z9">
        <v>120.01</v>
      </c>
      <c r="AA9">
        <v>2563.953</v>
      </c>
      <c r="AB9">
        <v>3546.8020000000001</v>
      </c>
      <c r="AC9">
        <v>3.54</v>
      </c>
      <c r="AD9">
        <v>180.22499999999999</v>
      </c>
      <c r="AE9">
        <v>176.4</v>
      </c>
      <c r="AF9">
        <v>23.047999999999998</v>
      </c>
      <c r="AG9">
        <v>164.55199999999999</v>
      </c>
      <c r="AH9">
        <v>0.98707482993197282</v>
      </c>
      <c r="AI9">
        <v>350</v>
      </c>
      <c r="AJ9">
        <v>0</v>
      </c>
      <c r="AK9">
        <v>2.1520000000000001</v>
      </c>
      <c r="AL9">
        <v>-19.684000000000001</v>
      </c>
      <c r="AM9">
        <v>354.36799999999999</v>
      </c>
      <c r="AN9">
        <v>341.86</v>
      </c>
      <c r="AO9">
        <v>41.21</v>
      </c>
      <c r="AP9">
        <v>299.12799999999999</v>
      </c>
      <c r="AQ9">
        <v>640.98800000000006</v>
      </c>
      <c r="AR9">
        <v>1506.3230000000001</v>
      </c>
      <c r="AS9">
        <v>1431.5409999999999</v>
      </c>
      <c r="AT9">
        <v>176.56100000000001</v>
      </c>
      <c r="AU9">
        <v>1324.7090000000001</v>
      </c>
      <c r="AV9">
        <v>1880.2329999999999</v>
      </c>
      <c r="AW9">
        <v>3337.9639999999999</v>
      </c>
      <c r="AX9">
        <v>3375.8719999999998</v>
      </c>
      <c r="AY9">
        <v>217.56800000000001</v>
      </c>
      <c r="AZ9">
        <v>2179.36</v>
      </c>
      <c r="BA9">
        <v>3717.7330000000002</v>
      </c>
      <c r="BB9">
        <v>2.94</v>
      </c>
      <c r="BC9">
        <v>185.75899999999999</v>
      </c>
      <c r="BD9">
        <v>186.18799999999999</v>
      </c>
      <c r="BE9">
        <v>3.2</v>
      </c>
      <c r="BF9">
        <v>154.73699999999999</v>
      </c>
      <c r="BG9">
        <v>0</v>
      </c>
      <c r="BH9">
        <v>189.96899999999999</v>
      </c>
      <c r="BI9">
        <v>0.39689440993788816</v>
      </c>
      <c r="BJ9">
        <v>0.51200000000000001</v>
      </c>
      <c r="BK9">
        <v>-27.143999999999998</v>
      </c>
      <c r="BL9">
        <v>379.95499999999998</v>
      </c>
      <c r="BM9">
        <v>397.29700000000003</v>
      </c>
      <c r="BN9">
        <v>21.637</v>
      </c>
      <c r="BO9">
        <v>353.15300000000002</v>
      </c>
      <c r="BP9">
        <v>397.29700000000003</v>
      </c>
      <c r="BQ9">
        <v>1115.1969999999999</v>
      </c>
      <c r="BR9">
        <v>1103.604</v>
      </c>
      <c r="BS9">
        <v>41.634</v>
      </c>
      <c r="BT9">
        <v>1015.3150000000001</v>
      </c>
      <c r="BU9">
        <v>1280.18</v>
      </c>
      <c r="BV9">
        <v>2493.9879999999998</v>
      </c>
      <c r="BW9">
        <v>2472.0720000000001</v>
      </c>
      <c r="BX9">
        <v>107.17700000000001</v>
      </c>
      <c r="BY9">
        <v>2207.2069999999999</v>
      </c>
      <c r="BZ9">
        <v>2781.0810000000001</v>
      </c>
      <c r="CA9">
        <v>3.22</v>
      </c>
    </row>
    <row r="10" spans="1:84" x14ac:dyDescent="0.35">
      <c r="A10" t="s">
        <v>424</v>
      </c>
      <c r="B10" t="str">
        <f t="shared" si="0"/>
        <v xml:space="preserve"> al_sc_2000_09_09_522</v>
      </c>
      <c r="C10" s="1">
        <f t="shared" si="1"/>
        <v>45762</v>
      </c>
      <c r="D10" t="s">
        <v>78</v>
      </c>
      <c r="E10">
        <v>188.97300000000001</v>
      </c>
      <c r="F10">
        <v>188.46199999999999</v>
      </c>
      <c r="G10">
        <v>5.1779999999999999</v>
      </c>
      <c r="H10">
        <v>184.51900000000001</v>
      </c>
      <c r="I10">
        <v>0.1388888888888889</v>
      </c>
      <c r="J10">
        <v>226.154</v>
      </c>
      <c r="K10">
        <v>0.98703703703703694</v>
      </c>
      <c r="L10">
        <v>0.53500000000000003</v>
      </c>
      <c r="M10">
        <v>-22.745999999999999</v>
      </c>
      <c r="N10">
        <v>661.3</v>
      </c>
      <c r="O10">
        <v>675.68899999999996</v>
      </c>
      <c r="P10">
        <v>59.447000000000003</v>
      </c>
      <c r="Q10">
        <v>450.46</v>
      </c>
      <c r="R10">
        <v>945.96500000000003</v>
      </c>
      <c r="S10">
        <v>1155.5540000000001</v>
      </c>
      <c r="T10">
        <v>1126.1489999999999</v>
      </c>
      <c r="U10">
        <v>80.778999999999996</v>
      </c>
      <c r="V10">
        <v>1081.1030000000001</v>
      </c>
      <c r="W10">
        <v>1711.7470000000001</v>
      </c>
      <c r="X10">
        <v>2912.3470000000002</v>
      </c>
      <c r="Y10">
        <v>2927.9879999999998</v>
      </c>
      <c r="Z10">
        <v>140.05199999999999</v>
      </c>
      <c r="AA10">
        <v>2612.6660000000002</v>
      </c>
      <c r="AB10">
        <v>3198.2640000000001</v>
      </c>
      <c r="AC10">
        <v>1.62</v>
      </c>
      <c r="AD10">
        <v>191.465</v>
      </c>
      <c r="AE10">
        <v>190.08600000000001</v>
      </c>
      <c r="AF10">
        <v>7.8449999999999998</v>
      </c>
      <c r="AG10">
        <v>185.18299999999999</v>
      </c>
      <c r="AH10">
        <v>0.94264705882352939</v>
      </c>
      <c r="AI10">
        <v>247.75299999999999</v>
      </c>
      <c r="AJ10">
        <v>0</v>
      </c>
      <c r="AK10">
        <v>0.60899999999999999</v>
      </c>
      <c r="AL10">
        <v>-28.917999999999999</v>
      </c>
      <c r="AM10">
        <v>321.06200000000001</v>
      </c>
      <c r="AN10">
        <v>321.89800000000002</v>
      </c>
      <c r="AO10">
        <v>6201</v>
      </c>
      <c r="AP10">
        <v>275.91199999999998</v>
      </c>
      <c r="AQ10">
        <v>321.89800000000002</v>
      </c>
      <c r="AR10">
        <v>2547.5909999999999</v>
      </c>
      <c r="AS10">
        <v>2575.1819999999998</v>
      </c>
      <c r="AT10">
        <v>69.739999999999995</v>
      </c>
      <c r="AU10">
        <v>2437.2260000000001</v>
      </c>
      <c r="AV10">
        <v>2621.1680000000001</v>
      </c>
      <c r="AW10">
        <v>3047.8519999999999</v>
      </c>
      <c r="AX10">
        <v>3035.0360000000001</v>
      </c>
      <c r="AY10">
        <v>85.674000000000007</v>
      </c>
      <c r="AZ10">
        <v>2897.08</v>
      </c>
      <c r="BA10">
        <v>3264.9639999999999</v>
      </c>
      <c r="BB10">
        <v>1.36</v>
      </c>
      <c r="BC10">
        <v>196.23500000000001</v>
      </c>
      <c r="BD10">
        <v>192.93799999999999</v>
      </c>
      <c r="BE10">
        <v>16.13</v>
      </c>
      <c r="BF10">
        <v>190.08600000000001</v>
      </c>
      <c r="BG10">
        <v>0.14130434782608697</v>
      </c>
      <c r="BH10">
        <v>306.25</v>
      </c>
      <c r="BI10">
        <v>1.5942028985507246E-2</v>
      </c>
      <c r="BJ10">
        <v>1.2090000000000001</v>
      </c>
      <c r="BK10">
        <v>-28.728000000000002</v>
      </c>
      <c r="BL10">
        <v>358.91699999999997</v>
      </c>
      <c r="BM10">
        <v>374.52199999999999</v>
      </c>
      <c r="BN10">
        <v>34.667999999999999</v>
      </c>
      <c r="BO10">
        <v>280.892</v>
      </c>
      <c r="BP10">
        <v>514.96799999999996</v>
      </c>
      <c r="BQ10">
        <v>1021.424</v>
      </c>
      <c r="BR10">
        <v>983.12099999999998</v>
      </c>
      <c r="BS10">
        <v>143.48699999999999</v>
      </c>
      <c r="BT10">
        <v>983.12099999999998</v>
      </c>
      <c r="BU10">
        <v>1638.5350000000001</v>
      </c>
      <c r="BV10">
        <v>3126.9639999999999</v>
      </c>
      <c r="BW10">
        <v>3136.6239999999998</v>
      </c>
      <c r="BX10">
        <v>192.136</v>
      </c>
      <c r="BY10">
        <v>2668.471</v>
      </c>
      <c r="BZ10">
        <v>3745.223</v>
      </c>
      <c r="CA10">
        <v>1.38</v>
      </c>
    </row>
    <row r="11" spans="1:84" x14ac:dyDescent="0.35">
      <c r="A11" t="s">
        <v>425</v>
      </c>
      <c r="B11" t="str">
        <f t="shared" si="0"/>
        <v xml:space="preserve"> al_va_2004_12_16_206</v>
      </c>
      <c r="C11" s="1">
        <f t="shared" si="1"/>
        <v>45762</v>
      </c>
      <c r="D11" t="s">
        <v>78</v>
      </c>
      <c r="E11">
        <v>195.51</v>
      </c>
      <c r="F11">
        <v>194.518</v>
      </c>
      <c r="G11">
        <v>4.1980000000000004</v>
      </c>
      <c r="H11">
        <v>190.90899999999999</v>
      </c>
      <c r="I11">
        <v>0.63843283582089549</v>
      </c>
      <c r="J11">
        <v>219.715</v>
      </c>
      <c r="K11">
        <v>0</v>
      </c>
      <c r="L11">
        <v>0.35399999999999998</v>
      </c>
      <c r="M11">
        <v>-23.234999999999999</v>
      </c>
      <c r="N11">
        <v>896.32299999999998</v>
      </c>
      <c r="O11">
        <v>895.19200000000001</v>
      </c>
      <c r="P11">
        <v>50.228999999999999</v>
      </c>
      <c r="Q11">
        <v>518.26900000000001</v>
      </c>
      <c r="R11">
        <v>989.423</v>
      </c>
      <c r="S11">
        <v>1151.123</v>
      </c>
      <c r="T11">
        <v>1130.769</v>
      </c>
      <c r="U11">
        <v>39.841999999999999</v>
      </c>
      <c r="V11">
        <v>1083.654</v>
      </c>
      <c r="W11">
        <v>1366.346</v>
      </c>
      <c r="X11">
        <v>2834.085</v>
      </c>
      <c r="Y11">
        <v>2826.9229999999998</v>
      </c>
      <c r="Z11">
        <v>109.691</v>
      </c>
      <c r="AA11">
        <v>2497.1149999999998</v>
      </c>
      <c r="AB11">
        <v>3109.6149999999998</v>
      </c>
      <c r="AC11">
        <v>2.68</v>
      </c>
      <c r="AD11">
        <v>203.61799999999999</v>
      </c>
      <c r="AE11">
        <v>202.029</v>
      </c>
      <c r="AF11">
        <v>8.4610000000000003</v>
      </c>
      <c r="AG11">
        <v>199.03299999999999</v>
      </c>
      <c r="AH11">
        <v>0.40742187499999999</v>
      </c>
      <c r="AI11">
        <v>288.23500000000001</v>
      </c>
      <c r="AJ11">
        <v>7.8125E-3</v>
      </c>
      <c r="AK11">
        <v>0.75900000000000001</v>
      </c>
      <c r="AL11">
        <v>-29.986999999999998</v>
      </c>
      <c r="AM11">
        <v>351.31799999999998</v>
      </c>
      <c r="AN11">
        <v>345.30200000000002</v>
      </c>
      <c r="AO11">
        <v>25.722000000000001</v>
      </c>
      <c r="AP11">
        <v>345.30200000000002</v>
      </c>
      <c r="AQ11">
        <v>591.94600000000003</v>
      </c>
      <c r="AR11">
        <v>2232.1309999999999</v>
      </c>
      <c r="AS11">
        <v>2343.1210000000001</v>
      </c>
      <c r="AT11">
        <v>365</v>
      </c>
      <c r="AU11">
        <v>1430.537</v>
      </c>
      <c r="AV11">
        <v>2565.1010000000001</v>
      </c>
      <c r="AW11">
        <v>3241.893</v>
      </c>
      <c r="AX11">
        <v>3206.3760000000002</v>
      </c>
      <c r="AY11">
        <v>186.959</v>
      </c>
      <c r="AZ11">
        <v>2762.4160000000002</v>
      </c>
      <c r="BA11">
        <v>3995.6379999999999</v>
      </c>
      <c r="BB11">
        <v>2.56</v>
      </c>
      <c r="BC11">
        <v>203.51300000000001</v>
      </c>
      <c r="BD11">
        <v>202.559</v>
      </c>
      <c r="BE11">
        <v>9.7349999999999994</v>
      </c>
      <c r="BF11">
        <v>181.69499999999999</v>
      </c>
      <c r="BG11">
        <v>1.4963503649635036E-2</v>
      </c>
      <c r="BH11">
        <v>311.19</v>
      </c>
      <c r="BI11">
        <v>7.6642335766423358E-3</v>
      </c>
      <c r="BJ11">
        <v>1.054</v>
      </c>
      <c r="BK11">
        <v>-30.454000000000001</v>
      </c>
      <c r="BL11">
        <v>391.32100000000003</v>
      </c>
      <c r="BM11">
        <v>392.43599999999998</v>
      </c>
      <c r="BN11">
        <v>7339</v>
      </c>
      <c r="BO11">
        <v>343.38200000000001</v>
      </c>
      <c r="BP11">
        <v>392.43599999999998</v>
      </c>
      <c r="BQ11">
        <v>981.09</v>
      </c>
      <c r="BR11">
        <v>981.09</v>
      </c>
      <c r="BS11">
        <v>38.481999999999999</v>
      </c>
      <c r="BT11">
        <v>932.03599999999994</v>
      </c>
      <c r="BU11">
        <v>1030.145</v>
      </c>
      <c r="BV11">
        <v>4058.9839999999999</v>
      </c>
      <c r="BW11">
        <v>4071.5239999999999</v>
      </c>
      <c r="BX11">
        <v>119.19199999999999</v>
      </c>
      <c r="BY11">
        <v>3482.87</v>
      </c>
      <c r="BZ11">
        <v>4611.1229999999996</v>
      </c>
      <c r="CA11">
        <v>2.74</v>
      </c>
      <c r="CB11">
        <v>8</v>
      </c>
      <c r="CC11">
        <v>2</v>
      </c>
      <c r="CD11">
        <v>2</v>
      </c>
      <c r="CE11">
        <v>4</v>
      </c>
      <c r="CF11">
        <v>6</v>
      </c>
    </row>
    <row r="12" spans="1:84" x14ac:dyDescent="0.35">
      <c r="A12" t="s">
        <v>426</v>
      </c>
      <c r="B12" t="str">
        <f t="shared" si="0"/>
        <v xml:space="preserve"> am_bo_1988_08_24_166</v>
      </c>
      <c r="C12" s="1">
        <f t="shared" si="1"/>
        <v>45762</v>
      </c>
      <c r="D12" t="s">
        <v>78</v>
      </c>
      <c r="E12">
        <v>166.00200000000001</v>
      </c>
      <c r="F12">
        <v>165.7</v>
      </c>
      <c r="G12">
        <v>2.3839999999999999</v>
      </c>
      <c r="H12">
        <v>161.792</v>
      </c>
      <c r="I12">
        <v>3.0808080808080809E-2</v>
      </c>
      <c r="J12">
        <v>179.89500000000001</v>
      </c>
      <c r="K12">
        <v>0.99318181818181817</v>
      </c>
      <c r="L12">
        <v>0.41599999999999998</v>
      </c>
      <c r="M12">
        <v>-28.934000000000001</v>
      </c>
      <c r="N12">
        <v>461.32100000000003</v>
      </c>
      <c r="O12">
        <v>435.84899999999999</v>
      </c>
      <c r="P12">
        <v>62.555</v>
      </c>
      <c r="Q12">
        <v>316.98099999999999</v>
      </c>
      <c r="R12">
        <v>673.58500000000004</v>
      </c>
      <c r="S12">
        <v>1217.8209999999999</v>
      </c>
      <c r="T12">
        <v>1228.3019999999999</v>
      </c>
      <c r="U12">
        <v>46.942</v>
      </c>
      <c r="V12">
        <v>1109.434</v>
      </c>
      <c r="W12">
        <v>1386.7919999999999</v>
      </c>
      <c r="X12">
        <v>2130.7330000000002</v>
      </c>
      <c r="Y12">
        <v>2119.8110000000001</v>
      </c>
      <c r="Z12">
        <v>83.426000000000002</v>
      </c>
      <c r="AA12">
        <v>1981.1320000000001</v>
      </c>
      <c r="AB12">
        <v>2416.9810000000002</v>
      </c>
      <c r="AC12">
        <v>3.96</v>
      </c>
      <c r="AD12">
        <v>167.46600000000001</v>
      </c>
      <c r="AE12">
        <v>166.32499999999999</v>
      </c>
      <c r="AF12">
        <v>7.9050000000000002</v>
      </c>
      <c r="AG12">
        <v>160.28</v>
      </c>
      <c r="AH12">
        <v>0.10634920634920636</v>
      </c>
      <c r="AI12">
        <v>245</v>
      </c>
      <c r="AJ12">
        <v>0</v>
      </c>
      <c r="AK12">
        <v>0.77900000000000003</v>
      </c>
      <c r="AL12">
        <v>-28.509</v>
      </c>
      <c r="AM12">
        <v>320.43599999999998</v>
      </c>
      <c r="AN12">
        <v>320.43599999999998</v>
      </c>
      <c r="AO12">
        <v>8205</v>
      </c>
      <c r="AP12">
        <v>280.38099999999997</v>
      </c>
      <c r="AQ12">
        <v>400.54500000000002</v>
      </c>
      <c r="AR12">
        <v>1508.7190000000001</v>
      </c>
      <c r="AS12">
        <v>1441.962</v>
      </c>
      <c r="AT12">
        <v>305.92099999999999</v>
      </c>
      <c r="AU12">
        <v>1241.6890000000001</v>
      </c>
      <c r="AV12">
        <v>1842.5070000000001</v>
      </c>
      <c r="AW12">
        <v>3294.616</v>
      </c>
      <c r="AX12">
        <v>3284.4690000000001</v>
      </c>
      <c r="AY12">
        <v>210.172</v>
      </c>
      <c r="AZ12">
        <v>2843.8690000000001</v>
      </c>
      <c r="BA12">
        <v>4005.45</v>
      </c>
      <c r="BB12">
        <v>3.78</v>
      </c>
      <c r="BC12">
        <v>166.93100000000001</v>
      </c>
      <c r="BD12">
        <v>165.87899999999999</v>
      </c>
      <c r="BE12">
        <v>4.45</v>
      </c>
      <c r="BF12">
        <v>148.48500000000001</v>
      </c>
      <c r="BG12">
        <v>0</v>
      </c>
      <c r="BH12">
        <v>189.387</v>
      </c>
      <c r="BI12">
        <v>1.3709677419354837E-2</v>
      </c>
      <c r="BJ12">
        <v>0.74399999999999999</v>
      </c>
      <c r="BK12">
        <v>-29.503</v>
      </c>
      <c r="BL12">
        <v>327.18099999999998</v>
      </c>
      <c r="BM12">
        <v>318.98700000000002</v>
      </c>
      <c r="BN12">
        <v>16.166</v>
      </c>
      <c r="BO12">
        <v>318.98700000000002</v>
      </c>
      <c r="BP12">
        <v>358.86099999999999</v>
      </c>
      <c r="BQ12">
        <v>1236.076</v>
      </c>
      <c r="BR12">
        <v>1236.076</v>
      </c>
      <c r="BS12">
        <v>0</v>
      </c>
      <c r="BT12">
        <v>1236.076</v>
      </c>
      <c r="BU12">
        <v>1236.076</v>
      </c>
      <c r="BV12">
        <v>2780.018</v>
      </c>
      <c r="BW12">
        <v>2791.1390000000001</v>
      </c>
      <c r="BX12">
        <v>90.105000000000004</v>
      </c>
      <c r="BY12">
        <v>2432.2779999999998</v>
      </c>
      <c r="BZ12">
        <v>3030.38</v>
      </c>
      <c r="CA12">
        <v>3.72</v>
      </c>
    </row>
    <row r="13" spans="1:84" x14ac:dyDescent="0.35">
      <c r="A13" t="s">
        <v>427</v>
      </c>
      <c r="B13" t="str">
        <f t="shared" si="0"/>
        <v xml:space="preserve"> am_or_2005_07_19_155</v>
      </c>
      <c r="C13" s="1">
        <f t="shared" si="1"/>
        <v>45762</v>
      </c>
      <c r="D13" t="s">
        <v>78</v>
      </c>
      <c r="E13">
        <v>191.399</v>
      </c>
      <c r="F13">
        <v>191.32400000000001</v>
      </c>
      <c r="G13">
        <v>2.73</v>
      </c>
      <c r="H13">
        <v>184.29900000000001</v>
      </c>
      <c r="I13">
        <v>1.1235955056179775E-2</v>
      </c>
      <c r="J13">
        <v>209.005</v>
      </c>
      <c r="K13">
        <v>0.99719101123595499</v>
      </c>
      <c r="L13">
        <v>0.39500000000000002</v>
      </c>
      <c r="M13">
        <v>-24.771000000000001</v>
      </c>
      <c r="N13">
        <v>546.11900000000003</v>
      </c>
      <c r="O13">
        <v>547.26</v>
      </c>
      <c r="P13">
        <v>40.384999999999998</v>
      </c>
      <c r="Q13">
        <v>410.44499999999999</v>
      </c>
      <c r="R13">
        <v>638.46900000000005</v>
      </c>
      <c r="S13">
        <v>1128.723</v>
      </c>
      <c r="T13">
        <v>1140.124</v>
      </c>
      <c r="U13">
        <v>38.969000000000001</v>
      </c>
      <c r="V13">
        <v>1048.914</v>
      </c>
      <c r="W13">
        <v>1276.9390000000001</v>
      </c>
      <c r="X13">
        <v>3137.6219999999998</v>
      </c>
      <c r="Y13">
        <v>3101.1379999999999</v>
      </c>
      <c r="Z13">
        <v>179.422</v>
      </c>
      <c r="AA13">
        <v>2690.6930000000002</v>
      </c>
      <c r="AB13">
        <v>3648.3969999999999</v>
      </c>
      <c r="AC13">
        <v>1.78</v>
      </c>
      <c r="AD13">
        <v>196.03</v>
      </c>
      <c r="AE13">
        <v>195.81399999999999</v>
      </c>
      <c r="AF13">
        <v>3.758</v>
      </c>
      <c r="AG13">
        <v>185.852</v>
      </c>
      <c r="AH13">
        <v>0</v>
      </c>
      <c r="AI13">
        <v>214.078</v>
      </c>
      <c r="AJ13">
        <v>0.98636363636363633</v>
      </c>
      <c r="AK13">
        <v>0.53100000000000003</v>
      </c>
      <c r="AL13">
        <v>-29.111000000000001</v>
      </c>
      <c r="AM13">
        <v>330.86799999999999</v>
      </c>
      <c r="AN13">
        <v>330.86799999999999</v>
      </c>
      <c r="AO13">
        <v>0</v>
      </c>
      <c r="AP13">
        <v>330.86799999999999</v>
      </c>
      <c r="AQ13">
        <v>330.86799999999999</v>
      </c>
      <c r="AR13">
        <v>2321.895</v>
      </c>
      <c r="AS13">
        <v>2363.3440000000001</v>
      </c>
      <c r="AT13">
        <v>100.792</v>
      </c>
      <c r="AU13">
        <v>2079.7429999999999</v>
      </c>
      <c r="AV13">
        <v>2457.8780000000002</v>
      </c>
      <c r="AW13">
        <v>3565.7669999999998</v>
      </c>
      <c r="AX13">
        <v>3545.0160000000001</v>
      </c>
      <c r="AY13">
        <v>223.81800000000001</v>
      </c>
      <c r="AZ13">
        <v>2646.9450000000002</v>
      </c>
      <c r="BA13">
        <v>4112.2190000000001</v>
      </c>
      <c r="BB13">
        <v>1.76</v>
      </c>
      <c r="BC13">
        <v>193.10400000000001</v>
      </c>
      <c r="BD13">
        <v>193.66399999999999</v>
      </c>
      <c r="BE13">
        <v>2.339</v>
      </c>
      <c r="BF13">
        <v>187.09100000000001</v>
      </c>
      <c r="BG13">
        <v>0</v>
      </c>
      <c r="BH13">
        <v>200.977</v>
      </c>
      <c r="BI13">
        <v>0.98674698795180726</v>
      </c>
      <c r="BJ13">
        <v>0.29699999999999999</v>
      </c>
      <c r="BK13">
        <v>-30.972999999999999</v>
      </c>
      <c r="BL13">
        <v>365.745</v>
      </c>
      <c r="BM13">
        <v>366.35500000000002</v>
      </c>
      <c r="BN13">
        <v>9.1999999999999993</v>
      </c>
      <c r="BO13">
        <v>320.56099999999998</v>
      </c>
      <c r="BP13">
        <v>412.15</v>
      </c>
      <c r="BQ13">
        <v>1236.4490000000001</v>
      </c>
      <c r="BR13">
        <v>1236.4490000000001</v>
      </c>
      <c r="BS13">
        <v>0</v>
      </c>
      <c r="BT13">
        <v>1236.4490000000001</v>
      </c>
      <c r="BU13">
        <v>1236.4490000000001</v>
      </c>
      <c r="BV13">
        <v>3829.6320000000001</v>
      </c>
      <c r="BW13">
        <v>3800.9349999999999</v>
      </c>
      <c r="BX13">
        <v>239.708</v>
      </c>
      <c r="BY13">
        <v>2930.8409999999999</v>
      </c>
      <c r="BZ13">
        <v>4396.2619999999997</v>
      </c>
      <c r="CA13">
        <v>1.66</v>
      </c>
      <c r="CB13">
        <v>4</v>
      </c>
      <c r="CC13">
        <v>0</v>
      </c>
      <c r="CD13">
        <v>4</v>
      </c>
      <c r="CE13">
        <v>0</v>
      </c>
      <c r="CF13">
        <v>0</v>
      </c>
    </row>
    <row r="14" spans="1:84" x14ac:dyDescent="0.35">
      <c r="A14" t="s">
        <v>428</v>
      </c>
      <c r="B14" t="str">
        <f>_xlfn.TEXTBEFORE(_xlfn.TEXTAFTER(A14,"-"),"_ONLY_VOWELS")</f>
        <v xml:space="preserve"> an_ba_2001_12_27_169</v>
      </c>
      <c r="C14" s="1">
        <f t="shared" si="1"/>
        <v>45762</v>
      </c>
      <c r="D14" t="s">
        <v>78</v>
      </c>
      <c r="E14">
        <v>214.08799999999999</v>
      </c>
      <c r="F14">
        <v>214.673</v>
      </c>
      <c r="G14">
        <v>4.3220000000000001</v>
      </c>
      <c r="H14">
        <v>200.715</v>
      </c>
      <c r="I14">
        <v>5.0287356321839075E-2</v>
      </c>
      <c r="J14">
        <v>233.333</v>
      </c>
      <c r="K14">
        <v>0</v>
      </c>
      <c r="L14">
        <v>0.60799999999999998</v>
      </c>
      <c r="M14">
        <v>-31.047999999999998</v>
      </c>
      <c r="N14">
        <v>660.45299999999997</v>
      </c>
      <c r="O14">
        <v>672.88699999999994</v>
      </c>
      <c r="P14">
        <v>88.013999999999996</v>
      </c>
      <c r="Q14">
        <v>465.84500000000003</v>
      </c>
      <c r="R14">
        <v>879.93</v>
      </c>
      <c r="S14">
        <v>1233.8679999999999</v>
      </c>
      <c r="T14">
        <v>1242.2539999999999</v>
      </c>
      <c r="U14">
        <v>32.529000000000003</v>
      </c>
      <c r="V14">
        <v>1086.972</v>
      </c>
      <c r="W14">
        <v>1397.5350000000001</v>
      </c>
      <c r="X14">
        <v>3162.5990000000002</v>
      </c>
      <c r="Y14">
        <v>3157.3939999999998</v>
      </c>
      <c r="Z14">
        <v>134.29300000000001</v>
      </c>
      <c r="AA14">
        <v>2846.8310000000001</v>
      </c>
      <c r="AB14">
        <v>3571.4789999999998</v>
      </c>
      <c r="AC14">
        <v>3.48</v>
      </c>
      <c r="AD14">
        <v>215.26900000000001</v>
      </c>
      <c r="AE14">
        <v>217.39400000000001</v>
      </c>
      <c r="AF14">
        <v>28.172999999999998</v>
      </c>
      <c r="AG14">
        <v>93.915000000000006</v>
      </c>
      <c r="AH14">
        <v>0.96966666666666657</v>
      </c>
      <c r="AI14">
        <v>348.02699999999999</v>
      </c>
      <c r="AJ14">
        <v>0</v>
      </c>
      <c r="AK14">
        <v>2.9079999999999999</v>
      </c>
      <c r="AL14">
        <v>-28.004000000000001</v>
      </c>
      <c r="AM14">
        <v>388.42399999999998</v>
      </c>
      <c r="AN14">
        <v>356.05500000000001</v>
      </c>
      <c r="AO14">
        <v>114.86499999999999</v>
      </c>
      <c r="AP14">
        <v>254.32499999999999</v>
      </c>
      <c r="AQ14">
        <v>661.24599999999998</v>
      </c>
      <c r="AR14">
        <v>1637.855</v>
      </c>
      <c r="AS14">
        <v>1576.817</v>
      </c>
      <c r="AT14">
        <v>269.202</v>
      </c>
      <c r="AU14">
        <v>1322.491</v>
      </c>
      <c r="AV14">
        <v>2288.9270000000001</v>
      </c>
      <c r="AW14">
        <v>3490.8249999999998</v>
      </c>
      <c r="AX14">
        <v>3509.6889999999999</v>
      </c>
      <c r="AY14">
        <v>207.95599999999999</v>
      </c>
      <c r="AZ14">
        <v>2695.848</v>
      </c>
      <c r="BA14">
        <v>3814.8789999999999</v>
      </c>
      <c r="BB14">
        <v>3</v>
      </c>
      <c r="BC14">
        <v>217.49299999999999</v>
      </c>
      <c r="BD14">
        <v>221.608</v>
      </c>
      <c r="BE14">
        <v>20.422000000000001</v>
      </c>
      <c r="BF14">
        <v>92.287000000000006</v>
      </c>
      <c r="BG14">
        <v>0.96017964071856288</v>
      </c>
      <c r="BH14">
        <v>227.655</v>
      </c>
      <c r="BI14">
        <v>0.18502994011976048</v>
      </c>
      <c r="BJ14">
        <v>2.206</v>
      </c>
      <c r="BK14">
        <v>-29.073</v>
      </c>
      <c r="BL14">
        <v>335.66</v>
      </c>
      <c r="BM14">
        <v>312.39699999999999</v>
      </c>
      <c r="BN14">
        <v>48.058</v>
      </c>
      <c r="BO14">
        <v>312.39699999999999</v>
      </c>
      <c r="BP14">
        <v>572.72699999999998</v>
      </c>
      <c r="BQ14">
        <v>1140.559</v>
      </c>
      <c r="BR14">
        <v>1145.4549999999999</v>
      </c>
      <c r="BS14">
        <v>71.697000000000003</v>
      </c>
      <c r="BT14">
        <v>1041.3219999999999</v>
      </c>
      <c r="BU14">
        <v>1405.7850000000001</v>
      </c>
      <c r="BV14">
        <v>3064.03</v>
      </c>
      <c r="BW14">
        <v>3071.9009999999998</v>
      </c>
      <c r="BX14">
        <v>129.75800000000001</v>
      </c>
      <c r="BY14">
        <v>2603.306</v>
      </c>
      <c r="BZ14">
        <v>3332.2310000000002</v>
      </c>
      <c r="CA14">
        <v>3.34</v>
      </c>
      <c r="CB14">
        <v>4</v>
      </c>
      <c r="CC14">
        <v>3</v>
      </c>
      <c r="CD14">
        <v>2</v>
      </c>
      <c r="CE14">
        <v>3</v>
      </c>
      <c r="CF14">
        <v>1</v>
      </c>
    </row>
    <row r="15" spans="1:84" x14ac:dyDescent="0.35">
      <c r="A15" t="s">
        <v>429</v>
      </c>
      <c r="B15" t="str">
        <f t="shared" ref="B15:B49" si="2">_xlfn.TEXTAFTER(A15,"-")</f>
        <v xml:space="preserve"> an_ca_2002_02_24_956</v>
      </c>
      <c r="C15" s="1">
        <f t="shared" si="1"/>
        <v>45762</v>
      </c>
      <c r="D15" t="s">
        <v>78</v>
      </c>
      <c r="E15">
        <v>199.18199999999999</v>
      </c>
      <c r="F15">
        <v>198.905</v>
      </c>
      <c r="G15">
        <v>3.415</v>
      </c>
      <c r="H15">
        <v>186.864</v>
      </c>
      <c r="I15">
        <v>0.98170731707317083</v>
      </c>
      <c r="J15">
        <v>207.739</v>
      </c>
      <c r="K15">
        <v>0.30609756097560975</v>
      </c>
      <c r="L15">
        <v>0.57499999999999996</v>
      </c>
      <c r="M15">
        <v>-27.074000000000002</v>
      </c>
      <c r="N15">
        <v>540.53300000000002</v>
      </c>
      <c r="O15">
        <v>484.61500000000001</v>
      </c>
      <c r="P15">
        <v>110.199</v>
      </c>
      <c r="Q15">
        <v>387.69200000000001</v>
      </c>
      <c r="R15">
        <v>872.30799999999999</v>
      </c>
      <c r="S15">
        <v>1212.193</v>
      </c>
      <c r="T15">
        <v>1211.538</v>
      </c>
      <c r="U15">
        <v>102.251</v>
      </c>
      <c r="V15">
        <v>1017.692</v>
      </c>
      <c r="W15">
        <v>1453.846</v>
      </c>
      <c r="X15">
        <v>3637.1010000000001</v>
      </c>
      <c r="Y15">
        <v>3658.846</v>
      </c>
      <c r="Z15">
        <v>463.37400000000002</v>
      </c>
      <c r="AA15">
        <v>2520</v>
      </c>
      <c r="AB15">
        <v>4603.8459999999995</v>
      </c>
      <c r="AC15">
        <v>1.64</v>
      </c>
      <c r="AD15">
        <v>183.58</v>
      </c>
      <c r="AE15">
        <v>184.51900000000001</v>
      </c>
      <c r="AF15">
        <v>11.247999999999999</v>
      </c>
      <c r="AG15">
        <v>102.55800000000001</v>
      </c>
      <c r="AH15">
        <v>0.9610294117647058</v>
      </c>
      <c r="AI15">
        <v>198.13900000000001</v>
      </c>
      <c r="AJ15">
        <v>1.6911764705882352E-2</v>
      </c>
      <c r="AK15">
        <v>3.6840000000000002</v>
      </c>
      <c r="AL15">
        <v>-23.933</v>
      </c>
      <c r="AM15">
        <v>354.09199999999998</v>
      </c>
      <c r="AN15">
        <v>354.93</v>
      </c>
      <c r="AO15">
        <v>6094</v>
      </c>
      <c r="AP15">
        <v>310.56299999999999</v>
      </c>
      <c r="AQ15">
        <v>354.93</v>
      </c>
      <c r="AR15">
        <v>2491.6060000000002</v>
      </c>
      <c r="AS15">
        <v>2528.873</v>
      </c>
      <c r="AT15">
        <v>112.081</v>
      </c>
      <c r="AU15">
        <v>2085.2109999999998</v>
      </c>
      <c r="AV15">
        <v>2617.6060000000002</v>
      </c>
      <c r="AW15">
        <v>3460.5630000000001</v>
      </c>
      <c r="AX15">
        <v>3504.93</v>
      </c>
      <c r="AY15">
        <v>203.14400000000001</v>
      </c>
      <c r="AZ15">
        <v>3105.634</v>
      </c>
      <c r="BA15">
        <v>3904.2249999999999</v>
      </c>
      <c r="BB15">
        <v>1.36</v>
      </c>
      <c r="BC15">
        <v>178.886</v>
      </c>
      <c r="BD15">
        <v>179.268</v>
      </c>
      <c r="BE15">
        <v>2.92</v>
      </c>
      <c r="BF15">
        <v>167.68100000000001</v>
      </c>
      <c r="BG15">
        <v>0.96833333333333327</v>
      </c>
      <c r="BH15">
        <v>189.50299999999999</v>
      </c>
      <c r="BI15">
        <v>0.94833333333333325</v>
      </c>
      <c r="BJ15">
        <v>1</v>
      </c>
      <c r="BK15">
        <v>-25.972999999999999</v>
      </c>
      <c r="BL15">
        <v>355.38099999999997</v>
      </c>
      <c r="BM15">
        <v>344.19499999999999</v>
      </c>
      <c r="BN15">
        <v>24.292000000000002</v>
      </c>
      <c r="BO15">
        <v>344.19499999999999</v>
      </c>
      <c r="BP15">
        <v>473.26799999999997</v>
      </c>
      <c r="BQ15">
        <v>1059.6289999999999</v>
      </c>
      <c r="BR15">
        <v>1032.585</v>
      </c>
      <c r="BS15">
        <v>33.139000000000003</v>
      </c>
      <c r="BT15">
        <v>1032.585</v>
      </c>
      <c r="BU15">
        <v>1161.6590000000001</v>
      </c>
      <c r="BV15">
        <v>3345.5770000000002</v>
      </c>
      <c r="BW15">
        <v>3312.8780000000002</v>
      </c>
      <c r="BX15">
        <v>178.04499999999999</v>
      </c>
      <c r="BY15">
        <v>3054.732</v>
      </c>
      <c r="BZ15">
        <v>3786.1460000000002</v>
      </c>
      <c r="CA15">
        <v>1.2</v>
      </c>
    </row>
    <row r="16" spans="1:84" x14ac:dyDescent="0.35">
      <c r="A16" t="s">
        <v>430</v>
      </c>
      <c r="B16" t="str">
        <f t="shared" si="2"/>
        <v xml:space="preserve"> an_pu_2004_12_28_073</v>
      </c>
      <c r="C16" s="1">
        <f t="shared" si="1"/>
        <v>45762</v>
      </c>
      <c r="D16" t="s">
        <v>78</v>
      </c>
      <c r="E16">
        <v>191.98099999999999</v>
      </c>
      <c r="F16">
        <v>189.73599999999999</v>
      </c>
      <c r="G16">
        <v>15.085000000000001</v>
      </c>
      <c r="H16">
        <v>186.751</v>
      </c>
      <c r="I16">
        <v>0.97330827067669168</v>
      </c>
      <c r="J16">
        <v>331.57900000000001</v>
      </c>
      <c r="K16">
        <v>0</v>
      </c>
      <c r="L16">
        <v>0.81200000000000006</v>
      </c>
      <c r="M16">
        <v>-26.324999999999999</v>
      </c>
      <c r="N16">
        <v>473.97199999999998</v>
      </c>
      <c r="O16">
        <v>459.85399999999998</v>
      </c>
      <c r="P16">
        <v>78.852999999999994</v>
      </c>
      <c r="Q16">
        <v>367.88299999999998</v>
      </c>
      <c r="R16">
        <v>873.72299999999996</v>
      </c>
      <c r="S16">
        <v>1482.5540000000001</v>
      </c>
      <c r="T16">
        <v>1471.5329999999999</v>
      </c>
      <c r="U16">
        <v>127.054</v>
      </c>
      <c r="V16">
        <v>1287.5909999999999</v>
      </c>
      <c r="W16">
        <v>2023.3579999999999</v>
      </c>
      <c r="X16">
        <v>2658.0320000000002</v>
      </c>
      <c r="Y16">
        <v>2667.1529999999998</v>
      </c>
      <c r="Z16">
        <v>64.658000000000001</v>
      </c>
      <c r="AA16">
        <v>2483.212</v>
      </c>
      <c r="AB16">
        <v>2851.0949999999998</v>
      </c>
      <c r="AC16">
        <v>2.66</v>
      </c>
      <c r="AD16">
        <v>191.245</v>
      </c>
      <c r="AE16">
        <v>190.203</v>
      </c>
      <c r="AF16">
        <v>7.0490000000000004</v>
      </c>
      <c r="AG16">
        <v>186.864</v>
      </c>
      <c r="AH16">
        <v>0</v>
      </c>
      <c r="AI16">
        <v>264.298</v>
      </c>
      <c r="AJ16">
        <v>8.2089552238805968E-3</v>
      </c>
      <c r="AK16">
        <v>0.748</v>
      </c>
      <c r="AL16">
        <v>-25.891999999999999</v>
      </c>
      <c r="AM16">
        <v>333.29599999999999</v>
      </c>
      <c r="AN16">
        <v>319.23500000000001</v>
      </c>
      <c r="AO16">
        <v>52.481000000000002</v>
      </c>
      <c r="AP16">
        <v>319.23500000000001</v>
      </c>
      <c r="AQ16">
        <v>866.49400000000003</v>
      </c>
      <c r="AR16">
        <v>2511.4549999999999</v>
      </c>
      <c r="AS16">
        <v>2553.8780000000002</v>
      </c>
      <c r="AT16">
        <v>116.804</v>
      </c>
      <c r="AU16">
        <v>1596.174</v>
      </c>
      <c r="AV16">
        <v>2599.4830000000002</v>
      </c>
      <c r="AW16">
        <v>3280.9189999999999</v>
      </c>
      <c r="AX16">
        <v>3283.5569999999998</v>
      </c>
      <c r="AY16">
        <v>132.215</v>
      </c>
      <c r="AZ16">
        <v>3009.9279999999999</v>
      </c>
      <c r="BA16">
        <v>3602.7919999999999</v>
      </c>
      <c r="BB16">
        <v>2.68</v>
      </c>
      <c r="BC16">
        <v>197.64500000000001</v>
      </c>
      <c r="BD16">
        <v>197.37899999999999</v>
      </c>
      <c r="BE16">
        <v>10.308999999999999</v>
      </c>
      <c r="BF16">
        <v>167.31700000000001</v>
      </c>
      <c r="BG16">
        <v>0.99024390243902438</v>
      </c>
      <c r="BH16">
        <v>300.87700000000001</v>
      </c>
      <c r="BI16">
        <v>8.130081300813009E-3</v>
      </c>
      <c r="BJ16">
        <v>0.98199999999999998</v>
      </c>
      <c r="BK16">
        <v>-25.864000000000001</v>
      </c>
      <c r="BL16">
        <v>382.66500000000002</v>
      </c>
      <c r="BM16">
        <v>383.89600000000002</v>
      </c>
      <c r="BN16">
        <v>11.723000000000001</v>
      </c>
      <c r="BO16">
        <v>335.90899999999999</v>
      </c>
      <c r="BP16">
        <v>431.88200000000001</v>
      </c>
      <c r="BQ16">
        <v>1035.3409999999999</v>
      </c>
      <c r="BR16">
        <v>1007.726</v>
      </c>
      <c r="BS16">
        <v>48.643999999999998</v>
      </c>
      <c r="BT16">
        <v>1007.726</v>
      </c>
      <c r="BU16">
        <v>1439.6079999999999</v>
      </c>
      <c r="BV16">
        <v>3365.2379999999998</v>
      </c>
      <c r="BW16">
        <v>3359.0859999999998</v>
      </c>
      <c r="BX16">
        <v>200.59899999999999</v>
      </c>
      <c r="BY16">
        <v>2783.2429999999999</v>
      </c>
      <c r="BZ16">
        <v>3790.9679999999998</v>
      </c>
      <c r="CA16">
        <v>2.46</v>
      </c>
      <c r="CB16">
        <v>6</v>
      </c>
      <c r="CC16">
        <v>2</v>
      </c>
      <c r="CD16">
        <v>0</v>
      </c>
      <c r="CE16">
        <v>3</v>
      </c>
      <c r="CF16">
        <v>2</v>
      </c>
    </row>
    <row r="17" spans="1:84" x14ac:dyDescent="0.35">
      <c r="A17" t="s">
        <v>549</v>
      </c>
      <c r="B17" t="str">
        <f t="shared" si="2"/>
        <v xml:space="preserve"> an_ra_2004_06_07_770</v>
      </c>
      <c r="C17" s="1">
        <f t="shared" si="1"/>
        <v>45799</v>
      </c>
      <c r="D17" t="s">
        <v>78</v>
      </c>
      <c r="E17">
        <v>186.65799999999999</v>
      </c>
      <c r="F17">
        <v>186.52600000000001</v>
      </c>
      <c r="G17">
        <v>1.73</v>
      </c>
      <c r="H17">
        <v>182.017</v>
      </c>
      <c r="I17">
        <v>9.9632352941176464E-2</v>
      </c>
      <c r="J17">
        <v>194.273</v>
      </c>
      <c r="K17">
        <v>1.654411764705882E-2</v>
      </c>
      <c r="L17">
        <v>0.41299999999999998</v>
      </c>
      <c r="M17">
        <v>-21.916</v>
      </c>
      <c r="N17">
        <v>644.70399999999995</v>
      </c>
      <c r="O17">
        <v>624.26700000000005</v>
      </c>
      <c r="P17">
        <v>57.487000000000002</v>
      </c>
      <c r="Q17">
        <v>579.67600000000004</v>
      </c>
      <c r="R17">
        <v>1159.3530000000001</v>
      </c>
      <c r="S17">
        <v>1052.336</v>
      </c>
      <c r="T17">
        <v>1025.5809999999999</v>
      </c>
      <c r="U17">
        <v>52.957999999999998</v>
      </c>
      <c r="V17">
        <v>980.99099999999999</v>
      </c>
      <c r="W17">
        <v>1248.5340000000001</v>
      </c>
      <c r="X17">
        <v>3232.8110000000001</v>
      </c>
      <c r="Y17">
        <v>3165.9250000000002</v>
      </c>
      <c r="Z17">
        <v>333.48399999999998</v>
      </c>
      <c r="AA17">
        <v>2720.02</v>
      </c>
      <c r="AB17">
        <v>4280.6880000000001</v>
      </c>
      <c r="AC17">
        <v>2.72</v>
      </c>
      <c r="AD17">
        <v>182.08500000000001</v>
      </c>
      <c r="AE17">
        <v>180.315</v>
      </c>
      <c r="AF17">
        <v>10.206</v>
      </c>
      <c r="AG17">
        <v>175.99799999999999</v>
      </c>
      <c r="AH17">
        <v>0.79850746268656714</v>
      </c>
      <c r="AI17">
        <v>275.625</v>
      </c>
      <c r="AJ17">
        <v>0</v>
      </c>
      <c r="AK17">
        <v>0.59499999999999997</v>
      </c>
      <c r="AL17">
        <v>-27.655000000000001</v>
      </c>
      <c r="AM17">
        <v>346.90300000000002</v>
      </c>
      <c r="AN17">
        <v>346.90300000000002</v>
      </c>
      <c r="AO17">
        <v>5744</v>
      </c>
      <c r="AP17">
        <v>303.54000000000002</v>
      </c>
      <c r="AQ17">
        <v>390.26499999999999</v>
      </c>
      <c r="AR17">
        <v>1387.6110000000001</v>
      </c>
      <c r="AS17">
        <v>1387.6110000000001</v>
      </c>
      <c r="AT17">
        <v>0</v>
      </c>
      <c r="AU17">
        <v>1387.6110000000001</v>
      </c>
      <c r="AV17">
        <v>1387.6110000000001</v>
      </c>
      <c r="AW17">
        <v>3427.549</v>
      </c>
      <c r="AX17">
        <v>3425.6640000000002</v>
      </c>
      <c r="AY17">
        <v>173.393</v>
      </c>
      <c r="AZ17">
        <v>3078.761</v>
      </c>
      <c r="BA17">
        <v>3902.6550000000002</v>
      </c>
      <c r="BB17">
        <v>2.68</v>
      </c>
      <c r="BC17">
        <v>180.33</v>
      </c>
      <c r="BD17">
        <v>180.10499999999999</v>
      </c>
      <c r="BE17">
        <v>2.7549999999999999</v>
      </c>
      <c r="BF17">
        <v>175.89699999999999</v>
      </c>
      <c r="BG17">
        <v>0.79409722222222223</v>
      </c>
      <c r="BH17">
        <v>192.697</v>
      </c>
      <c r="BI17">
        <v>7.9861111111111105E-3</v>
      </c>
      <c r="BJ17">
        <v>0.377</v>
      </c>
      <c r="BK17">
        <v>-27.652999999999999</v>
      </c>
      <c r="BL17">
        <v>378.202</v>
      </c>
      <c r="BM17">
        <v>388.73700000000002</v>
      </c>
      <c r="BN17">
        <v>20.2</v>
      </c>
      <c r="BO17">
        <v>345.54399999999998</v>
      </c>
      <c r="BP17">
        <v>431.92899999999997</v>
      </c>
      <c r="BQ17">
        <v>996.29</v>
      </c>
      <c r="BR17">
        <v>993.43799999999999</v>
      </c>
      <c r="BS17">
        <v>28.131</v>
      </c>
      <c r="BT17">
        <v>950.245</v>
      </c>
      <c r="BU17">
        <v>1252.595</v>
      </c>
      <c r="BV17">
        <v>3357.11</v>
      </c>
      <c r="BW17">
        <v>3369.05</v>
      </c>
      <c r="BX17">
        <v>138.84200000000001</v>
      </c>
      <c r="BY17">
        <v>2850.7350000000001</v>
      </c>
      <c r="BZ17">
        <v>3628.2080000000001</v>
      </c>
      <c r="CA17">
        <v>2.88</v>
      </c>
      <c r="CB17">
        <v>5</v>
      </c>
      <c r="CC17">
        <v>6</v>
      </c>
      <c r="CD17">
        <v>3</v>
      </c>
      <c r="CE17">
        <v>4</v>
      </c>
      <c r="CF17">
        <v>2</v>
      </c>
    </row>
    <row r="18" spans="1:84" x14ac:dyDescent="0.35">
      <c r="A18" t="s">
        <v>431</v>
      </c>
      <c r="B18" t="str">
        <f t="shared" si="2"/>
        <v xml:space="preserve"> ar_br_2001_08_21_449</v>
      </c>
      <c r="C18" s="1">
        <f t="shared" si="1"/>
        <v>45762</v>
      </c>
      <c r="D18" t="s">
        <v>78</v>
      </c>
      <c r="E18">
        <v>178.309</v>
      </c>
      <c r="F18">
        <v>178.13</v>
      </c>
      <c r="G18">
        <v>2.2799999999999998</v>
      </c>
      <c r="H18">
        <v>173.13499999999999</v>
      </c>
      <c r="I18">
        <v>0.6202127659574469</v>
      </c>
      <c r="J18">
        <v>192.81700000000001</v>
      </c>
      <c r="K18">
        <v>0</v>
      </c>
      <c r="L18">
        <v>0.71899999999999997</v>
      </c>
      <c r="M18">
        <v>-17.317</v>
      </c>
      <c r="N18">
        <v>626.13699999999994</v>
      </c>
      <c r="O18">
        <v>640.36800000000005</v>
      </c>
      <c r="P18">
        <v>40.423000000000002</v>
      </c>
      <c r="Q18">
        <v>512.29399999999998</v>
      </c>
      <c r="R18">
        <v>725.75</v>
      </c>
      <c r="S18">
        <v>1167.1020000000001</v>
      </c>
      <c r="T18">
        <v>1152.662</v>
      </c>
      <c r="U18">
        <v>57.423000000000002</v>
      </c>
      <c r="V18">
        <v>1067.28</v>
      </c>
      <c r="W18">
        <v>1323.4269999999999</v>
      </c>
      <c r="X18">
        <v>2783.8960000000002</v>
      </c>
      <c r="Y18">
        <v>2774.9270000000001</v>
      </c>
      <c r="Z18">
        <v>117.754</v>
      </c>
      <c r="AA18">
        <v>2476.0889999999999</v>
      </c>
      <c r="AB18">
        <v>3073.7660000000001</v>
      </c>
      <c r="AC18">
        <v>2.82</v>
      </c>
      <c r="AD18">
        <v>180.36199999999999</v>
      </c>
      <c r="AE18">
        <v>178.233</v>
      </c>
      <c r="AF18">
        <v>11.807</v>
      </c>
      <c r="AG18">
        <v>173.91499999999999</v>
      </c>
      <c r="AH18">
        <v>0.40113636363636357</v>
      </c>
      <c r="AI18">
        <v>264.75099999999998</v>
      </c>
      <c r="AJ18">
        <v>0</v>
      </c>
      <c r="AK18">
        <v>1.052</v>
      </c>
      <c r="AL18">
        <v>-19.004000000000001</v>
      </c>
      <c r="AM18">
        <v>342.85700000000003</v>
      </c>
      <c r="AN18">
        <v>342.85700000000003</v>
      </c>
      <c r="AO18">
        <v>14.090999999999999</v>
      </c>
      <c r="AP18">
        <v>300</v>
      </c>
      <c r="AQ18">
        <v>428.57100000000003</v>
      </c>
      <c r="AR18">
        <v>1818.8150000000001</v>
      </c>
      <c r="AS18">
        <v>1800</v>
      </c>
      <c r="AT18">
        <v>179.202</v>
      </c>
      <c r="AU18">
        <v>1542.857</v>
      </c>
      <c r="AV18">
        <v>2314.2860000000001</v>
      </c>
      <c r="AW18">
        <v>3198.5970000000002</v>
      </c>
      <c r="AX18">
        <v>3171.4290000000001</v>
      </c>
      <c r="AY18">
        <v>246.76599999999999</v>
      </c>
      <c r="AZ18">
        <v>2485.7139999999999</v>
      </c>
      <c r="BA18">
        <v>3771.4290000000001</v>
      </c>
      <c r="BB18">
        <v>2.64</v>
      </c>
      <c r="BC18">
        <v>175.946</v>
      </c>
      <c r="BD18">
        <v>175.94800000000001</v>
      </c>
      <c r="BE18">
        <v>1.7090000000000001</v>
      </c>
      <c r="BF18">
        <v>171.215</v>
      </c>
      <c r="BG18">
        <v>0.97169117647058811</v>
      </c>
      <c r="BH18">
        <v>182.447</v>
      </c>
      <c r="BI18">
        <v>0</v>
      </c>
      <c r="BJ18">
        <v>0.41199999999999998</v>
      </c>
      <c r="BK18">
        <v>-26.437000000000001</v>
      </c>
      <c r="BL18">
        <v>333.97500000000002</v>
      </c>
      <c r="BM18">
        <v>332.83</v>
      </c>
      <c r="BN18">
        <v>6838</v>
      </c>
      <c r="BO18">
        <v>332.83</v>
      </c>
      <c r="BP18">
        <v>374.43400000000003</v>
      </c>
      <c r="BQ18">
        <v>1291.0170000000001</v>
      </c>
      <c r="BR18">
        <v>1289.7170000000001</v>
      </c>
      <c r="BS18">
        <v>105.346</v>
      </c>
      <c r="BT18">
        <v>1123.3019999999999</v>
      </c>
      <c r="BU18">
        <v>1580.943</v>
      </c>
      <c r="BV18">
        <v>3010.33</v>
      </c>
      <c r="BW18">
        <v>2995.4720000000002</v>
      </c>
      <c r="BX18">
        <v>178.69200000000001</v>
      </c>
      <c r="BY18">
        <v>2621.038</v>
      </c>
      <c r="BZ18">
        <v>3536.3209999999999</v>
      </c>
      <c r="CA18">
        <v>2.72</v>
      </c>
      <c r="CB18">
        <v>4</v>
      </c>
      <c r="CC18">
        <v>1</v>
      </c>
      <c r="CD18">
        <v>0</v>
      </c>
      <c r="CE18">
        <v>1</v>
      </c>
      <c r="CF18">
        <v>0</v>
      </c>
    </row>
    <row r="19" spans="1:84" x14ac:dyDescent="0.35">
      <c r="A19" t="s">
        <v>432</v>
      </c>
      <c r="B19" t="str">
        <f t="shared" si="2"/>
        <v xml:space="preserve"> ar_se_2005_06_30_070</v>
      </c>
      <c r="C19" s="1">
        <f t="shared" si="1"/>
        <v>45762</v>
      </c>
      <c r="D19" t="s">
        <v>78</v>
      </c>
      <c r="E19">
        <v>199.16200000000001</v>
      </c>
      <c r="F19">
        <v>199.03299999999999</v>
      </c>
      <c r="G19">
        <v>2.1349999999999998</v>
      </c>
      <c r="H19">
        <v>189.27</v>
      </c>
      <c r="I19">
        <v>0</v>
      </c>
      <c r="J19">
        <v>212.45699999999999</v>
      </c>
      <c r="K19">
        <v>0.98941605839416047</v>
      </c>
      <c r="L19">
        <v>0.33900000000000002</v>
      </c>
      <c r="M19">
        <v>-22.870999999999999</v>
      </c>
      <c r="N19">
        <v>737.89200000000005</v>
      </c>
      <c r="O19">
        <v>767.79100000000005</v>
      </c>
      <c r="P19">
        <v>43.197000000000003</v>
      </c>
      <c r="Q19">
        <v>527.85599999999999</v>
      </c>
      <c r="R19">
        <v>815.77800000000002</v>
      </c>
      <c r="S19">
        <v>1093.2840000000001</v>
      </c>
      <c r="T19">
        <v>1103.7</v>
      </c>
      <c r="U19">
        <v>34.438000000000002</v>
      </c>
      <c r="V19">
        <v>1007.726</v>
      </c>
      <c r="W19">
        <v>1199.674</v>
      </c>
      <c r="X19">
        <v>2371.6619999999998</v>
      </c>
      <c r="Y19">
        <v>2399.3470000000002</v>
      </c>
      <c r="Z19">
        <v>95.948999999999998</v>
      </c>
      <c r="AA19">
        <v>2111.4250000000002</v>
      </c>
      <c r="AB19">
        <v>2687.2689999999998</v>
      </c>
      <c r="AC19">
        <v>2.74</v>
      </c>
      <c r="AD19">
        <v>205.923</v>
      </c>
      <c r="AE19">
        <v>205.11600000000001</v>
      </c>
      <c r="AF19">
        <v>3.3130000000000002</v>
      </c>
      <c r="AG19">
        <v>202.29400000000001</v>
      </c>
      <c r="AH19">
        <v>0.50482758620689661</v>
      </c>
      <c r="AI19">
        <v>226.48599999999999</v>
      </c>
      <c r="AJ19">
        <v>0</v>
      </c>
      <c r="AK19">
        <v>0.30399999999999999</v>
      </c>
      <c r="AL19">
        <v>-28.446999999999999</v>
      </c>
      <c r="AM19">
        <v>353.15300000000002</v>
      </c>
      <c r="AN19">
        <v>346.85399999999998</v>
      </c>
      <c r="AO19">
        <v>16.576000000000001</v>
      </c>
      <c r="AP19">
        <v>346.85399999999998</v>
      </c>
      <c r="AQ19">
        <v>396.404</v>
      </c>
      <c r="AW19">
        <v>3370.4850000000001</v>
      </c>
      <c r="AX19">
        <v>3369.4380000000001</v>
      </c>
      <c r="AY19">
        <v>84.385000000000005</v>
      </c>
      <c r="AZ19">
        <v>3022.5839999999998</v>
      </c>
      <c r="BA19">
        <v>3518.09</v>
      </c>
      <c r="BB19">
        <v>2.9</v>
      </c>
      <c r="BC19">
        <v>209.392</v>
      </c>
      <c r="BD19">
        <v>210.429</v>
      </c>
      <c r="BE19">
        <v>12.422000000000001</v>
      </c>
      <c r="BF19">
        <v>108.126</v>
      </c>
      <c r="BG19">
        <v>0</v>
      </c>
      <c r="BH19">
        <v>218.471</v>
      </c>
      <c r="BI19">
        <v>8.4027777777777785E-2</v>
      </c>
      <c r="BJ19">
        <v>2.3039999999999998</v>
      </c>
      <c r="BK19">
        <v>-30.24</v>
      </c>
      <c r="BL19">
        <v>398.74400000000003</v>
      </c>
      <c r="BM19">
        <v>399.09500000000003</v>
      </c>
      <c r="BN19">
        <v>4186</v>
      </c>
      <c r="BO19">
        <v>349.20800000000003</v>
      </c>
      <c r="BP19">
        <v>399.09500000000003</v>
      </c>
      <c r="BQ19">
        <v>1074.4870000000001</v>
      </c>
      <c r="BR19">
        <v>1047.624</v>
      </c>
      <c r="BS19">
        <v>43.271999999999998</v>
      </c>
      <c r="BT19">
        <v>997.73800000000006</v>
      </c>
      <c r="BU19">
        <v>1247.172</v>
      </c>
      <c r="BV19">
        <v>3428.4929999999999</v>
      </c>
      <c r="BW19">
        <v>3442.1950000000002</v>
      </c>
      <c r="BX19">
        <v>221.126</v>
      </c>
      <c r="BY19">
        <v>2743.7779999999998</v>
      </c>
      <c r="BZ19">
        <v>3941.0630000000001</v>
      </c>
      <c r="CA19">
        <v>2.88</v>
      </c>
      <c r="CB19">
        <v>6</v>
      </c>
      <c r="CC19">
        <v>1</v>
      </c>
      <c r="CD19">
        <v>2</v>
      </c>
      <c r="CE19">
        <v>2</v>
      </c>
      <c r="CF19">
        <v>2</v>
      </c>
    </row>
    <row r="20" spans="1:84" x14ac:dyDescent="0.35">
      <c r="A20" t="s">
        <v>411</v>
      </c>
      <c r="B20" t="str">
        <f t="shared" si="2"/>
        <v xml:space="preserve"> as_gr_2000_07_17_648</v>
      </c>
      <c r="C20" s="1">
        <f t="shared" si="1"/>
        <v>45790</v>
      </c>
      <c r="D20" t="s">
        <v>78</v>
      </c>
      <c r="E20">
        <v>175.35900000000001</v>
      </c>
      <c r="F20">
        <v>179.00899999999999</v>
      </c>
      <c r="G20">
        <v>28.617999999999999</v>
      </c>
      <c r="H20">
        <v>94.433000000000007</v>
      </c>
      <c r="I20">
        <v>0.52954545454545454</v>
      </c>
      <c r="J20">
        <v>221.13200000000001</v>
      </c>
      <c r="K20">
        <v>0.79805194805194812</v>
      </c>
      <c r="L20">
        <v>3.927</v>
      </c>
      <c r="M20">
        <v>-23.08</v>
      </c>
      <c r="N20">
        <v>579.71799999999996</v>
      </c>
      <c r="O20">
        <v>538.30999999999995</v>
      </c>
      <c r="P20">
        <v>78.638999999999996</v>
      </c>
      <c r="Q20">
        <v>455.49299999999999</v>
      </c>
      <c r="R20">
        <v>828.16899999999998</v>
      </c>
      <c r="S20">
        <v>1083.1220000000001</v>
      </c>
      <c r="T20">
        <v>1076.6199999999999</v>
      </c>
      <c r="U20">
        <v>79.111999999999995</v>
      </c>
      <c r="V20">
        <v>993.803</v>
      </c>
      <c r="W20">
        <v>1821.972</v>
      </c>
      <c r="X20">
        <v>3232.4879999999998</v>
      </c>
      <c r="Y20">
        <v>3229.8589999999999</v>
      </c>
      <c r="Z20">
        <v>193.56800000000001</v>
      </c>
      <c r="AA20">
        <v>2360.2820000000002</v>
      </c>
      <c r="AB20">
        <v>3643.944</v>
      </c>
      <c r="AC20">
        <v>3.08</v>
      </c>
      <c r="AD20">
        <v>187.148</v>
      </c>
      <c r="AE20">
        <v>186.18799999999999</v>
      </c>
      <c r="AF20">
        <v>3.4390000000000001</v>
      </c>
      <c r="AG20">
        <v>183.64099999999999</v>
      </c>
      <c r="AH20">
        <v>0.2650406504065041</v>
      </c>
      <c r="AI20">
        <v>199.67699999999999</v>
      </c>
      <c r="AJ20">
        <v>8.130081300813009E-3</v>
      </c>
      <c r="AK20">
        <v>0.38200000000000001</v>
      </c>
      <c r="AL20">
        <v>-27.103000000000002</v>
      </c>
      <c r="AM20">
        <v>356.90600000000001</v>
      </c>
      <c r="AN20">
        <v>357.80900000000003</v>
      </c>
      <c r="AO20">
        <v>6325</v>
      </c>
      <c r="AP20">
        <v>313.08300000000003</v>
      </c>
      <c r="AQ20">
        <v>357.80900000000003</v>
      </c>
      <c r="AR20">
        <v>2310.1680000000001</v>
      </c>
      <c r="AS20">
        <v>2325.761</v>
      </c>
      <c r="AT20">
        <v>100.818</v>
      </c>
      <c r="AU20">
        <v>1565.4159999999999</v>
      </c>
      <c r="AV20">
        <v>2415.2130000000002</v>
      </c>
      <c r="AW20">
        <v>3362.259</v>
      </c>
      <c r="AX20">
        <v>3354.462</v>
      </c>
      <c r="AY20">
        <v>174.804</v>
      </c>
      <c r="AZ20">
        <v>3041.3789999999999</v>
      </c>
      <c r="BA20">
        <v>3846.45</v>
      </c>
      <c r="BB20">
        <v>2.46</v>
      </c>
      <c r="BC20">
        <v>194.22</v>
      </c>
      <c r="BD20">
        <v>193.90700000000001</v>
      </c>
      <c r="BE20">
        <v>2.2269999999999999</v>
      </c>
      <c r="BF20">
        <v>186.18799999999999</v>
      </c>
      <c r="BG20">
        <v>0.98104838709677411</v>
      </c>
      <c r="BH20">
        <v>206.35</v>
      </c>
      <c r="BI20">
        <v>1.6935483870967744E-2</v>
      </c>
      <c r="BJ20">
        <v>0.44700000000000001</v>
      </c>
      <c r="BK20">
        <v>-29.321000000000002</v>
      </c>
      <c r="BL20">
        <v>367.88299999999998</v>
      </c>
      <c r="BM20">
        <v>367.88299999999998</v>
      </c>
      <c r="BN20">
        <v>0</v>
      </c>
      <c r="BO20">
        <v>367.88299999999998</v>
      </c>
      <c r="BP20">
        <v>367.88299999999998</v>
      </c>
      <c r="BQ20">
        <v>1187.8879999999999</v>
      </c>
      <c r="BR20">
        <v>1195.6199999999999</v>
      </c>
      <c r="BS20">
        <v>107.47799999999999</v>
      </c>
      <c r="BT20">
        <v>1011.679</v>
      </c>
      <c r="BU20">
        <v>1701.46</v>
      </c>
      <c r="BV20">
        <v>2726.9749999999999</v>
      </c>
      <c r="BW20">
        <v>2713.1390000000001</v>
      </c>
      <c r="BX20">
        <v>134.89599999999999</v>
      </c>
      <c r="BY20">
        <v>2529.1970000000001</v>
      </c>
      <c r="BZ20">
        <v>3218.9780000000001</v>
      </c>
      <c r="CA20">
        <v>2.48</v>
      </c>
      <c r="CB20">
        <v>3</v>
      </c>
      <c r="CC20">
        <v>0</v>
      </c>
      <c r="CD20">
        <v>1</v>
      </c>
      <c r="CE20">
        <v>0</v>
      </c>
      <c r="CF20">
        <v>0</v>
      </c>
    </row>
    <row r="21" spans="1:84" x14ac:dyDescent="0.35">
      <c r="A21" t="s">
        <v>433</v>
      </c>
      <c r="B21" t="str">
        <f t="shared" si="2"/>
        <v xml:space="preserve"> as_li_2005_04_26_447</v>
      </c>
      <c r="C21" s="1">
        <f t="shared" si="1"/>
        <v>45762</v>
      </c>
      <c r="D21" t="s">
        <v>78</v>
      </c>
      <c r="E21">
        <v>201.60300000000001</v>
      </c>
      <c r="F21">
        <v>199.80600000000001</v>
      </c>
      <c r="G21">
        <v>6.2640000000000002</v>
      </c>
      <c r="H21">
        <v>197.001</v>
      </c>
      <c r="I21">
        <v>0.90063694267515915</v>
      </c>
      <c r="J21">
        <v>234.21899999999999</v>
      </c>
      <c r="K21">
        <v>6.3694267515923561E-3</v>
      </c>
      <c r="L21">
        <v>0.439</v>
      </c>
      <c r="M21">
        <v>-27.239000000000001</v>
      </c>
      <c r="N21">
        <v>476.06900000000002</v>
      </c>
      <c r="O21">
        <v>484.08300000000003</v>
      </c>
      <c r="P21">
        <v>76.117000000000004</v>
      </c>
      <c r="Q21">
        <v>290.45</v>
      </c>
      <c r="R21">
        <v>774.53300000000002</v>
      </c>
      <c r="S21">
        <v>1133.9090000000001</v>
      </c>
      <c r="T21">
        <v>1113.3920000000001</v>
      </c>
      <c r="U21">
        <v>65.290999999999997</v>
      </c>
      <c r="V21">
        <v>1064.9839999999999</v>
      </c>
      <c r="W21">
        <v>1452.25</v>
      </c>
      <c r="X21">
        <v>2623.3470000000002</v>
      </c>
      <c r="Y21">
        <v>2614.0500000000002</v>
      </c>
      <c r="Z21">
        <v>88.507000000000005</v>
      </c>
      <c r="AA21">
        <v>2372.009</v>
      </c>
      <c r="AB21">
        <v>2904.5010000000002</v>
      </c>
      <c r="AC21">
        <v>3.14</v>
      </c>
      <c r="AD21">
        <v>204.202</v>
      </c>
      <c r="AE21">
        <v>200.977</v>
      </c>
      <c r="AF21">
        <v>10.510999999999999</v>
      </c>
      <c r="AG21">
        <v>192.21700000000001</v>
      </c>
      <c r="AH21">
        <v>0.98161764705882348</v>
      </c>
      <c r="AI21">
        <v>267.27300000000002</v>
      </c>
      <c r="AJ21">
        <v>0</v>
      </c>
      <c r="AK21">
        <v>0.55100000000000005</v>
      </c>
      <c r="AL21">
        <v>-29.529</v>
      </c>
      <c r="AM21">
        <v>364.69200000000001</v>
      </c>
      <c r="AN21">
        <v>389.404</v>
      </c>
      <c r="AO21">
        <v>31.635999999999999</v>
      </c>
      <c r="AP21">
        <v>292.053</v>
      </c>
      <c r="AQ21">
        <v>438.07900000000001</v>
      </c>
      <c r="AR21">
        <v>1338.576</v>
      </c>
      <c r="AS21">
        <v>1338.576</v>
      </c>
      <c r="AT21">
        <v>34.418999999999997</v>
      </c>
      <c r="AU21">
        <v>1314.2380000000001</v>
      </c>
      <c r="AV21">
        <v>1362.914</v>
      </c>
      <c r="AW21">
        <v>3113.3739999999998</v>
      </c>
      <c r="AX21">
        <v>3115.232</v>
      </c>
      <c r="AY21">
        <v>107.223</v>
      </c>
      <c r="AZ21">
        <v>2969.2049999999999</v>
      </c>
      <c r="BA21">
        <v>3650.6619999999998</v>
      </c>
      <c r="BB21">
        <v>2.72</v>
      </c>
      <c r="BC21">
        <v>214.13900000000001</v>
      </c>
      <c r="BD21">
        <v>207.042</v>
      </c>
      <c r="BE21">
        <v>17.256</v>
      </c>
      <c r="BF21">
        <v>199.41900000000001</v>
      </c>
      <c r="BG21">
        <v>0.85779816513761464</v>
      </c>
      <c r="BH21">
        <v>297.97300000000001</v>
      </c>
      <c r="BI21">
        <v>0</v>
      </c>
      <c r="BJ21">
        <v>0.63400000000000001</v>
      </c>
      <c r="BK21">
        <v>-30.599</v>
      </c>
      <c r="BL21">
        <v>405.10500000000002</v>
      </c>
      <c r="BM21">
        <v>410.233</v>
      </c>
      <c r="BN21">
        <v>22.984999999999999</v>
      </c>
      <c r="BO21">
        <v>358.95299999999997</v>
      </c>
      <c r="BP21">
        <v>512.79100000000005</v>
      </c>
      <c r="BQ21">
        <v>1062.068</v>
      </c>
      <c r="BR21">
        <v>1076.8599999999999</v>
      </c>
      <c r="BS21">
        <v>45.793999999999997</v>
      </c>
      <c r="BT21">
        <v>1025.5809999999999</v>
      </c>
      <c r="BU21">
        <v>1281.9770000000001</v>
      </c>
      <c r="BV21">
        <v>3082.3380000000002</v>
      </c>
      <c r="BW21">
        <v>3128.0230000000001</v>
      </c>
      <c r="BX21">
        <v>303.67700000000002</v>
      </c>
      <c r="BY21">
        <v>2512.674</v>
      </c>
      <c r="BZ21">
        <v>3794.6509999999998</v>
      </c>
      <c r="CA21">
        <v>2.1800000000000002</v>
      </c>
    </row>
    <row r="22" spans="1:84" x14ac:dyDescent="0.35">
      <c r="A22" t="s">
        <v>434</v>
      </c>
      <c r="B22" t="str">
        <f t="shared" si="2"/>
        <v xml:space="preserve"> as_ri_2004_07_30_783</v>
      </c>
      <c r="C22" s="1">
        <f t="shared" si="1"/>
        <v>45762</v>
      </c>
      <c r="D22" t="s">
        <v>78</v>
      </c>
      <c r="E22">
        <v>177.434</v>
      </c>
      <c r="F22">
        <v>177.61799999999999</v>
      </c>
      <c r="G22">
        <v>3.758</v>
      </c>
      <c r="H22">
        <v>165.78899999999999</v>
      </c>
      <c r="I22">
        <v>0</v>
      </c>
      <c r="J22">
        <v>193.42099999999999</v>
      </c>
      <c r="K22">
        <v>0.98941605839416047</v>
      </c>
      <c r="L22">
        <v>0.80100000000000005</v>
      </c>
      <c r="M22">
        <v>-26.236000000000001</v>
      </c>
      <c r="N22">
        <v>555.84</v>
      </c>
      <c r="O22">
        <v>551.78099999999995</v>
      </c>
      <c r="P22">
        <v>48.353000000000002</v>
      </c>
      <c r="Q22">
        <v>466.89100000000002</v>
      </c>
      <c r="R22">
        <v>764.00400000000002</v>
      </c>
      <c r="S22">
        <v>1141.615</v>
      </c>
      <c r="T22">
        <v>1146.0060000000001</v>
      </c>
      <c r="U22">
        <v>46.24</v>
      </c>
      <c r="V22">
        <v>1061.116</v>
      </c>
      <c r="W22">
        <v>1230.895</v>
      </c>
      <c r="X22">
        <v>3356.0810000000001</v>
      </c>
      <c r="Y22">
        <v>3353.1280000000002</v>
      </c>
      <c r="Z22">
        <v>119.48699999999999</v>
      </c>
      <c r="AA22">
        <v>2886.2370000000001</v>
      </c>
      <c r="AB22">
        <v>3607.7959999999998</v>
      </c>
      <c r="AC22">
        <v>2.74</v>
      </c>
      <c r="AD22">
        <v>182.84800000000001</v>
      </c>
      <c r="AE22">
        <v>182.77099999999999</v>
      </c>
      <c r="AF22">
        <v>2.9129999999999998</v>
      </c>
      <c r="AG22">
        <v>177.51599999999999</v>
      </c>
      <c r="AH22">
        <v>3.3941605839416057E-2</v>
      </c>
      <c r="AI22">
        <v>201.501</v>
      </c>
      <c r="AJ22">
        <v>0.98941605839416047</v>
      </c>
      <c r="AK22">
        <v>0.46700000000000003</v>
      </c>
      <c r="AL22">
        <v>-29.468</v>
      </c>
      <c r="AM22">
        <v>357.745</v>
      </c>
      <c r="AN22">
        <v>345.20499999999998</v>
      </c>
      <c r="AO22">
        <v>19.675999999999998</v>
      </c>
      <c r="AP22">
        <v>345.20499999999998</v>
      </c>
      <c r="AQ22">
        <v>388.35599999999999</v>
      </c>
      <c r="AR22">
        <v>2632.192</v>
      </c>
      <c r="AS22">
        <v>2632.192</v>
      </c>
      <c r="AT22">
        <v>0</v>
      </c>
      <c r="AU22">
        <v>2632.192</v>
      </c>
      <c r="AV22">
        <v>2632.192</v>
      </c>
      <c r="AW22">
        <v>3587.777</v>
      </c>
      <c r="AX22">
        <v>3624.6579999999999</v>
      </c>
      <c r="AY22">
        <v>137.54</v>
      </c>
      <c r="AZ22">
        <v>3193.1509999999998</v>
      </c>
      <c r="BA22">
        <v>3926.712</v>
      </c>
      <c r="BB22">
        <v>2.74</v>
      </c>
      <c r="BC22">
        <v>185.31800000000001</v>
      </c>
      <c r="BD22">
        <v>185.405</v>
      </c>
      <c r="BE22">
        <v>3.1909999999999998</v>
      </c>
      <c r="BF22">
        <v>179.68600000000001</v>
      </c>
      <c r="BG22">
        <v>0.22033333333333335</v>
      </c>
      <c r="BH22">
        <v>200.19499999999999</v>
      </c>
      <c r="BI22">
        <v>7.6666666666666662E-3</v>
      </c>
      <c r="BJ22">
        <v>0.58399999999999996</v>
      </c>
      <c r="BK22">
        <v>-29.672000000000001</v>
      </c>
      <c r="BL22">
        <v>353.85199999999998</v>
      </c>
      <c r="BM22">
        <v>353.50700000000001</v>
      </c>
      <c r="BN22">
        <v>3906</v>
      </c>
      <c r="BO22">
        <v>353.50700000000001</v>
      </c>
      <c r="BP22">
        <v>397.69499999999999</v>
      </c>
      <c r="BQ22">
        <v>1325.6510000000001</v>
      </c>
      <c r="BR22">
        <v>1325.6510000000001</v>
      </c>
      <c r="BS22">
        <v>0</v>
      </c>
      <c r="BT22">
        <v>1325.6510000000001</v>
      </c>
      <c r="BU22">
        <v>1325.6510000000001</v>
      </c>
      <c r="BV22">
        <v>3995.1689999999999</v>
      </c>
      <c r="BW22">
        <v>4021.1419999999998</v>
      </c>
      <c r="BX22">
        <v>110.962</v>
      </c>
      <c r="BY22">
        <v>2916.433</v>
      </c>
      <c r="BZ22">
        <v>4109.5190000000002</v>
      </c>
      <c r="CA22">
        <v>3</v>
      </c>
      <c r="CB22">
        <v>6</v>
      </c>
      <c r="CC22">
        <v>2</v>
      </c>
      <c r="CD22">
        <v>2</v>
      </c>
      <c r="CE22">
        <v>4</v>
      </c>
      <c r="CF22">
        <v>4</v>
      </c>
    </row>
    <row r="23" spans="1:84" x14ac:dyDescent="0.35">
      <c r="A23" t="s">
        <v>435</v>
      </c>
      <c r="B23" t="str">
        <f t="shared" si="2"/>
        <v xml:space="preserve"> as_st_2005_11_28_811</v>
      </c>
      <c r="C23" s="1">
        <f t="shared" si="1"/>
        <v>45762</v>
      </c>
      <c r="D23" t="s">
        <v>78</v>
      </c>
      <c r="E23">
        <v>223.601</v>
      </c>
      <c r="F23">
        <v>223.53399999999999</v>
      </c>
      <c r="G23">
        <v>1.9970000000000001</v>
      </c>
      <c r="H23">
        <v>220.34299999999999</v>
      </c>
      <c r="I23">
        <v>7.6896551724137938E-2</v>
      </c>
      <c r="J23">
        <v>242.30799999999999</v>
      </c>
      <c r="K23">
        <v>0</v>
      </c>
      <c r="L23">
        <v>0.28899999999999998</v>
      </c>
      <c r="M23">
        <v>-30.44</v>
      </c>
      <c r="N23">
        <v>661.779</v>
      </c>
      <c r="O23">
        <v>648.529</v>
      </c>
      <c r="P23">
        <v>34.479999999999997</v>
      </c>
      <c r="Q23">
        <v>594.48500000000001</v>
      </c>
      <c r="R23">
        <v>918.75</v>
      </c>
      <c r="S23">
        <v>1281.2670000000001</v>
      </c>
      <c r="T23">
        <v>1297.059</v>
      </c>
      <c r="U23">
        <v>45.793999999999997</v>
      </c>
      <c r="V23">
        <v>1080.8820000000001</v>
      </c>
      <c r="W23">
        <v>1351.1030000000001</v>
      </c>
      <c r="X23">
        <v>2889.7910000000002</v>
      </c>
      <c r="Y23">
        <v>2918.3820000000001</v>
      </c>
      <c r="Z23">
        <v>98.022999999999996</v>
      </c>
      <c r="AA23">
        <v>2648.1619999999998</v>
      </c>
      <c r="AB23">
        <v>3080.5149999999999</v>
      </c>
      <c r="AC23">
        <v>2.9</v>
      </c>
      <c r="AD23">
        <v>229.054</v>
      </c>
      <c r="AE23">
        <v>229.17599999999999</v>
      </c>
      <c r="AF23">
        <v>2.12</v>
      </c>
      <c r="AG23">
        <v>220.97399999999999</v>
      </c>
      <c r="AH23">
        <v>4.6774193548387091E-2</v>
      </c>
      <c r="AI23">
        <v>236.91499999999999</v>
      </c>
      <c r="AJ23">
        <v>9.9354838709677415E-2</v>
      </c>
      <c r="AK23">
        <v>0.35499999999999998</v>
      </c>
      <c r="AL23">
        <v>-31.927</v>
      </c>
      <c r="AM23">
        <v>388.791</v>
      </c>
      <c r="AN23">
        <v>388.791</v>
      </c>
      <c r="AO23">
        <v>6042</v>
      </c>
      <c r="AP23">
        <v>333.24900000000002</v>
      </c>
      <c r="AQ23">
        <v>444.33199999999999</v>
      </c>
      <c r="AR23">
        <v>2616.0079999999998</v>
      </c>
      <c r="AS23">
        <v>2610.453</v>
      </c>
      <c r="AT23">
        <v>31.527999999999999</v>
      </c>
      <c r="AU23">
        <v>2554.9119999999998</v>
      </c>
      <c r="AV23">
        <v>2665.9949999999999</v>
      </c>
      <c r="AW23">
        <v>2844.7080000000001</v>
      </c>
      <c r="AX23">
        <v>2832.62</v>
      </c>
      <c r="AY23">
        <v>119.089</v>
      </c>
      <c r="AZ23">
        <v>2777.078</v>
      </c>
      <c r="BA23">
        <v>3388.0349999999999</v>
      </c>
      <c r="BB23">
        <v>3.1</v>
      </c>
      <c r="BC23">
        <v>228.78100000000001</v>
      </c>
      <c r="BD23">
        <v>228.49700000000001</v>
      </c>
      <c r="BE23">
        <v>2.3239999999999998</v>
      </c>
      <c r="BF23">
        <v>222.08600000000001</v>
      </c>
      <c r="BG23">
        <v>4.2289719626168218E-2</v>
      </c>
      <c r="BH23">
        <v>256.39499999999998</v>
      </c>
      <c r="BI23">
        <v>0</v>
      </c>
      <c r="BJ23">
        <v>0.318</v>
      </c>
      <c r="BK23">
        <v>-33.314</v>
      </c>
      <c r="BL23">
        <v>388.274</v>
      </c>
      <c r="BM23">
        <v>388.791</v>
      </c>
      <c r="BN23">
        <v>5344</v>
      </c>
      <c r="BO23">
        <v>333.24900000000002</v>
      </c>
      <c r="BP23">
        <v>388.791</v>
      </c>
      <c r="BQ23">
        <v>979.11800000000005</v>
      </c>
      <c r="BR23">
        <v>944.20699999999999</v>
      </c>
      <c r="BS23">
        <v>101.779</v>
      </c>
      <c r="BT23">
        <v>944.20699999999999</v>
      </c>
      <c r="BU23">
        <v>1499.6220000000001</v>
      </c>
      <c r="BV23">
        <v>3006.3049999999998</v>
      </c>
      <c r="BW23">
        <v>2999.2440000000001</v>
      </c>
      <c r="BX23">
        <v>99.367999999999995</v>
      </c>
      <c r="BY23">
        <v>2777.078</v>
      </c>
      <c r="BZ23">
        <v>3443.5770000000002</v>
      </c>
      <c r="CA23">
        <v>4.28</v>
      </c>
      <c r="CB23">
        <v>5</v>
      </c>
      <c r="CC23">
        <v>3</v>
      </c>
      <c r="CD23">
        <v>1</v>
      </c>
      <c r="CE23">
        <v>1</v>
      </c>
      <c r="CF23">
        <v>1</v>
      </c>
    </row>
    <row r="24" spans="1:84" x14ac:dyDescent="0.35">
      <c r="A24" t="s">
        <v>436</v>
      </c>
      <c r="B24" t="str">
        <f t="shared" si="2"/>
        <v xml:space="preserve"> au_lo_2005_04_04_587</v>
      </c>
      <c r="C24" s="1">
        <f t="shared" si="1"/>
        <v>45762</v>
      </c>
      <c r="D24" t="s">
        <v>78</v>
      </c>
      <c r="E24">
        <v>183.94800000000001</v>
      </c>
      <c r="F24">
        <v>183.53200000000001</v>
      </c>
      <c r="G24">
        <v>2.6179999999999999</v>
      </c>
      <c r="H24">
        <v>179.68600000000001</v>
      </c>
      <c r="I24">
        <v>0.42027027027027025</v>
      </c>
      <c r="J24">
        <v>204.167</v>
      </c>
      <c r="K24">
        <v>0</v>
      </c>
      <c r="L24">
        <v>0.47399999999999998</v>
      </c>
      <c r="M24">
        <v>-18.827999999999999</v>
      </c>
      <c r="N24">
        <v>701.36699999999996</v>
      </c>
      <c r="O24">
        <v>700</v>
      </c>
      <c r="P24">
        <v>66.551000000000002</v>
      </c>
      <c r="Q24">
        <v>481.25</v>
      </c>
      <c r="R24">
        <v>875</v>
      </c>
      <c r="S24">
        <v>1052.1880000000001</v>
      </c>
      <c r="T24">
        <v>1050</v>
      </c>
      <c r="U24">
        <v>41.232999999999997</v>
      </c>
      <c r="V24">
        <v>962.5</v>
      </c>
      <c r="W24">
        <v>1225</v>
      </c>
      <c r="X24">
        <v>2919.6289999999999</v>
      </c>
      <c r="Y24">
        <v>2975</v>
      </c>
      <c r="Z24">
        <v>199.43100000000001</v>
      </c>
      <c r="AA24">
        <v>2275</v>
      </c>
      <c r="AB24">
        <v>3325</v>
      </c>
      <c r="AC24">
        <v>2.96</v>
      </c>
      <c r="AD24">
        <v>186.76900000000001</v>
      </c>
      <c r="AE24">
        <v>184.18899999999999</v>
      </c>
      <c r="AF24">
        <v>16.564</v>
      </c>
      <c r="AG24">
        <v>177.31200000000001</v>
      </c>
      <c r="AH24">
        <v>0.10882352941176469</v>
      </c>
      <c r="AI24">
        <v>313.72000000000003</v>
      </c>
      <c r="AJ24">
        <v>0</v>
      </c>
      <c r="AK24">
        <v>0.877</v>
      </c>
      <c r="AL24">
        <v>-24.384</v>
      </c>
      <c r="AM24">
        <v>354.60500000000002</v>
      </c>
      <c r="AN24">
        <v>353.86200000000002</v>
      </c>
      <c r="AO24">
        <v>12.855</v>
      </c>
      <c r="AP24">
        <v>309.62900000000002</v>
      </c>
      <c r="AQ24">
        <v>486.56</v>
      </c>
      <c r="AR24">
        <v>1319.6089999999999</v>
      </c>
      <c r="AS24">
        <v>1326.981</v>
      </c>
      <c r="AT24">
        <v>90.29</v>
      </c>
      <c r="AU24">
        <v>1150.05</v>
      </c>
      <c r="AV24">
        <v>1415.4459999999999</v>
      </c>
      <c r="AW24">
        <v>3751.6019999999999</v>
      </c>
      <c r="AX24">
        <v>3715.547</v>
      </c>
      <c r="AY24">
        <v>221.76</v>
      </c>
      <c r="AZ24">
        <v>2963.5909999999999</v>
      </c>
      <c r="BA24">
        <v>4379.0370000000003</v>
      </c>
      <c r="BB24">
        <v>2.72</v>
      </c>
      <c r="BC24">
        <v>183.672</v>
      </c>
      <c r="BD24">
        <v>182.501</v>
      </c>
      <c r="BE24">
        <v>5.5030000000000001</v>
      </c>
      <c r="BF24">
        <v>179.37200000000001</v>
      </c>
      <c r="BG24">
        <v>0.49810606060606055</v>
      </c>
      <c r="BH24">
        <v>212.16499999999999</v>
      </c>
      <c r="BI24">
        <v>1.6287878787878785E-2</v>
      </c>
      <c r="BJ24">
        <v>0.60899999999999999</v>
      </c>
      <c r="BK24">
        <v>-25.454999999999998</v>
      </c>
      <c r="BL24">
        <v>352.78800000000001</v>
      </c>
      <c r="BM24">
        <v>348.96100000000001</v>
      </c>
      <c r="BN24">
        <v>13.685</v>
      </c>
      <c r="BO24">
        <v>348.96100000000001</v>
      </c>
      <c r="BP24">
        <v>436.202</v>
      </c>
      <c r="BQ24">
        <v>1068.694</v>
      </c>
      <c r="BR24">
        <v>1068.694</v>
      </c>
      <c r="BS24">
        <v>22.524999999999999</v>
      </c>
      <c r="BT24">
        <v>1046.884</v>
      </c>
      <c r="BU24">
        <v>1090.5039999999999</v>
      </c>
      <c r="BV24">
        <v>2940.9180000000001</v>
      </c>
      <c r="BW24">
        <v>2922.5520000000001</v>
      </c>
      <c r="BX24">
        <v>143.07900000000001</v>
      </c>
      <c r="BY24">
        <v>2573.5909999999999</v>
      </c>
      <c r="BZ24">
        <v>3402.3739999999998</v>
      </c>
      <c r="CA24">
        <v>2.64</v>
      </c>
    </row>
    <row r="25" spans="1:84" x14ac:dyDescent="0.35">
      <c r="A25" t="s">
        <v>437</v>
      </c>
      <c r="B25" t="str">
        <f t="shared" si="2"/>
        <v xml:space="preserve"> au_ri_2004_02_19_848</v>
      </c>
      <c r="C25" s="1">
        <f t="shared" si="1"/>
        <v>45762</v>
      </c>
      <c r="D25" t="s">
        <v>78</v>
      </c>
      <c r="E25">
        <v>208.179</v>
      </c>
      <c r="F25">
        <v>208.37</v>
      </c>
      <c r="G25">
        <v>1.69</v>
      </c>
      <c r="H25">
        <v>199.935</v>
      </c>
      <c r="I25">
        <v>0</v>
      </c>
      <c r="J25">
        <v>211.874</v>
      </c>
      <c r="K25">
        <v>0.24507575757575756</v>
      </c>
      <c r="L25">
        <v>0.3</v>
      </c>
      <c r="M25">
        <v>-29.157</v>
      </c>
      <c r="N25">
        <v>753.97400000000005</v>
      </c>
      <c r="O25">
        <v>747.45799999999997</v>
      </c>
      <c r="P25">
        <v>19.998000000000001</v>
      </c>
      <c r="Q25">
        <v>747.45799999999997</v>
      </c>
      <c r="R25">
        <v>896.94899999999996</v>
      </c>
      <c r="S25">
        <v>1172.1669999999999</v>
      </c>
      <c r="T25">
        <v>1146.1020000000001</v>
      </c>
      <c r="U25">
        <v>36.292999999999999</v>
      </c>
      <c r="V25">
        <v>1096.271</v>
      </c>
      <c r="W25">
        <v>1245.7629999999999</v>
      </c>
      <c r="X25">
        <v>2644.4670000000001</v>
      </c>
      <c r="Y25">
        <v>2641.0169999999998</v>
      </c>
      <c r="Z25">
        <v>53.442</v>
      </c>
      <c r="AA25">
        <v>2342.0340000000001</v>
      </c>
      <c r="AB25">
        <v>2740.6779999999999</v>
      </c>
      <c r="AC25">
        <v>2.64</v>
      </c>
      <c r="AD25">
        <v>214.58500000000001</v>
      </c>
      <c r="AE25">
        <v>213.78100000000001</v>
      </c>
      <c r="AF25">
        <v>3.5379999999999998</v>
      </c>
      <c r="AG25">
        <v>211.43799999999999</v>
      </c>
      <c r="AH25">
        <v>0.60992063492063486</v>
      </c>
      <c r="AI25">
        <v>244.22499999999999</v>
      </c>
      <c r="AJ25">
        <v>0</v>
      </c>
      <c r="AK25">
        <v>0.28100000000000003</v>
      </c>
      <c r="AL25">
        <v>-30.655999999999999</v>
      </c>
      <c r="AM25">
        <v>402.52</v>
      </c>
      <c r="AN25">
        <v>414.57100000000003</v>
      </c>
      <c r="AO25">
        <v>23.811</v>
      </c>
      <c r="AP25">
        <v>310.928</v>
      </c>
      <c r="AQ25">
        <v>414.57100000000003</v>
      </c>
      <c r="AW25">
        <v>3133.386</v>
      </c>
      <c r="AX25">
        <v>3109.2829999999999</v>
      </c>
      <c r="AY25">
        <v>112.018</v>
      </c>
      <c r="AZ25">
        <v>2901.998</v>
      </c>
      <c r="BA25">
        <v>3472.0329999999999</v>
      </c>
      <c r="BB25">
        <v>2.52</v>
      </c>
      <c r="BC25">
        <v>221.56700000000001</v>
      </c>
      <c r="BD25">
        <v>221.44900000000001</v>
      </c>
      <c r="BE25">
        <v>2.254</v>
      </c>
      <c r="BF25">
        <v>207.042</v>
      </c>
      <c r="BG25">
        <v>0.98936170212765961</v>
      </c>
      <c r="BH25">
        <v>227.655</v>
      </c>
      <c r="BI25">
        <v>0</v>
      </c>
      <c r="BJ25">
        <v>0.223</v>
      </c>
      <c r="BK25">
        <v>-31.184000000000001</v>
      </c>
      <c r="BL25">
        <v>498.78300000000002</v>
      </c>
      <c r="BM25">
        <v>480.50799999999998</v>
      </c>
      <c r="BN25">
        <v>27.597000000000001</v>
      </c>
      <c r="BO25">
        <v>480.50799999999998</v>
      </c>
      <c r="BP25">
        <v>587.28800000000001</v>
      </c>
      <c r="BQ25">
        <v>908.10400000000004</v>
      </c>
      <c r="BR25">
        <v>907.62699999999995</v>
      </c>
      <c r="BS25">
        <v>5045</v>
      </c>
      <c r="BT25">
        <v>907.62699999999995</v>
      </c>
      <c r="BU25">
        <v>961.01700000000005</v>
      </c>
      <c r="BV25">
        <v>3285.4450000000002</v>
      </c>
      <c r="BW25">
        <v>3310.1689999999999</v>
      </c>
      <c r="BX25">
        <v>152.21899999999999</v>
      </c>
      <c r="BY25">
        <v>2936.4409999999998</v>
      </c>
      <c r="BZ25">
        <v>3950.8470000000002</v>
      </c>
      <c r="CA25">
        <v>2.82</v>
      </c>
      <c r="CB25">
        <v>7</v>
      </c>
      <c r="CC25">
        <v>3</v>
      </c>
      <c r="CD25">
        <v>1</v>
      </c>
      <c r="CE25">
        <v>2</v>
      </c>
      <c r="CF25">
        <v>5</v>
      </c>
    </row>
    <row r="26" spans="1:84" x14ac:dyDescent="0.35">
      <c r="A26" t="s">
        <v>438</v>
      </c>
      <c r="B26" t="str">
        <f t="shared" si="2"/>
        <v xml:space="preserve"> au_te_2005_05_22_789</v>
      </c>
      <c r="C26" s="1">
        <f t="shared" si="1"/>
        <v>45762</v>
      </c>
      <c r="D26" t="s">
        <v>78</v>
      </c>
      <c r="E26">
        <v>195.447</v>
      </c>
      <c r="F26">
        <v>195.00899999999999</v>
      </c>
      <c r="G26">
        <v>2.109</v>
      </c>
      <c r="H26">
        <v>189.852</v>
      </c>
      <c r="I26">
        <v>6.2111801242236021E-3</v>
      </c>
      <c r="J26">
        <v>206.488</v>
      </c>
      <c r="K26">
        <v>0.99937888198757752</v>
      </c>
      <c r="L26">
        <v>0.32400000000000001</v>
      </c>
      <c r="M26">
        <v>-29.344000000000001</v>
      </c>
      <c r="N26">
        <v>634.30200000000002</v>
      </c>
      <c r="O26">
        <v>609.89400000000001</v>
      </c>
      <c r="P26">
        <v>89.161000000000001</v>
      </c>
      <c r="Q26">
        <v>422.23399999999998</v>
      </c>
      <c r="R26">
        <v>985.21299999999997</v>
      </c>
      <c r="S26">
        <v>1195.704</v>
      </c>
      <c r="T26">
        <v>1172.8720000000001</v>
      </c>
      <c r="U26">
        <v>35.533000000000001</v>
      </c>
      <c r="V26">
        <v>1079.0429999999999</v>
      </c>
      <c r="W26">
        <v>1266.702</v>
      </c>
      <c r="X26">
        <v>3013.8130000000001</v>
      </c>
      <c r="Y26">
        <v>3049.4679999999998</v>
      </c>
      <c r="Z26">
        <v>207.023</v>
      </c>
      <c r="AA26">
        <v>2580.319</v>
      </c>
      <c r="AB26">
        <v>3424.7869999999998</v>
      </c>
      <c r="AC26">
        <v>3.22</v>
      </c>
      <c r="AD26">
        <v>196.37799999999999</v>
      </c>
      <c r="AE26">
        <v>195.93799999999999</v>
      </c>
      <c r="AF26">
        <v>3.7949999999999999</v>
      </c>
      <c r="AG26">
        <v>183.422</v>
      </c>
      <c r="AH26">
        <v>0.98103448275862082</v>
      </c>
      <c r="AI26">
        <v>211.43799999999999</v>
      </c>
      <c r="AJ26">
        <v>1.482758620689655E-2</v>
      </c>
      <c r="AK26">
        <v>0.35699999999999998</v>
      </c>
      <c r="AL26">
        <v>-30.951000000000001</v>
      </c>
      <c r="AM26">
        <v>359.13200000000001</v>
      </c>
      <c r="AN26">
        <v>374.125</v>
      </c>
      <c r="AO26">
        <v>21.91</v>
      </c>
      <c r="AP26">
        <v>327.35899999999998</v>
      </c>
      <c r="AQ26">
        <v>374.125</v>
      </c>
      <c r="AR26">
        <v>2209.6770000000001</v>
      </c>
      <c r="AS26">
        <v>2408.431</v>
      </c>
      <c r="AT26">
        <v>421.07600000000002</v>
      </c>
      <c r="AU26">
        <v>1496.501</v>
      </c>
      <c r="AV26">
        <v>2665.6419999999998</v>
      </c>
      <c r="AW26">
        <v>3321.4079999999999</v>
      </c>
      <c r="AX26">
        <v>3320.3609999999999</v>
      </c>
      <c r="AY26">
        <v>179.661</v>
      </c>
      <c r="AZ26">
        <v>2618.8760000000002</v>
      </c>
      <c r="BA26">
        <v>3788.0169999999998</v>
      </c>
      <c r="BB26">
        <v>2.9</v>
      </c>
      <c r="BC26">
        <v>199.43799999999999</v>
      </c>
      <c r="BD26">
        <v>197.505</v>
      </c>
      <c r="BE26">
        <v>7.1710000000000003</v>
      </c>
      <c r="BF26">
        <v>194.518</v>
      </c>
      <c r="BG26">
        <v>0.95952380952380956</v>
      </c>
      <c r="BH26">
        <v>254.91300000000001</v>
      </c>
      <c r="BI26">
        <v>0</v>
      </c>
      <c r="BJ26">
        <v>0.374</v>
      </c>
      <c r="BK26">
        <v>-30.954000000000001</v>
      </c>
      <c r="BL26">
        <v>377.69900000000001</v>
      </c>
      <c r="BM26">
        <v>379.76299999999998</v>
      </c>
      <c r="BN26">
        <v>18.018999999999998</v>
      </c>
      <c r="BO26">
        <v>332.29300000000001</v>
      </c>
      <c r="BP26">
        <v>522.17399999999998</v>
      </c>
      <c r="BQ26">
        <v>1708.934</v>
      </c>
      <c r="BR26">
        <v>1708.934</v>
      </c>
      <c r="BS26">
        <v>0</v>
      </c>
      <c r="BT26">
        <v>1708.934</v>
      </c>
      <c r="BU26">
        <v>1708.934</v>
      </c>
      <c r="BV26">
        <v>3649.029</v>
      </c>
      <c r="BW26">
        <v>3702.6909999999998</v>
      </c>
      <c r="BX26">
        <v>211.97</v>
      </c>
      <c r="BY26">
        <v>3038.105</v>
      </c>
      <c r="BZ26">
        <v>4129.9250000000002</v>
      </c>
      <c r="CA26">
        <v>2.94</v>
      </c>
      <c r="CB26">
        <v>3</v>
      </c>
      <c r="CC26">
        <v>2</v>
      </c>
      <c r="CD26">
        <v>2</v>
      </c>
      <c r="CE26">
        <v>4</v>
      </c>
      <c r="CF26">
        <v>1</v>
      </c>
    </row>
    <row r="27" spans="1:84" x14ac:dyDescent="0.35">
      <c r="A27" t="s">
        <v>439</v>
      </c>
      <c r="B27" t="str">
        <f t="shared" si="2"/>
        <v xml:space="preserve"> az_sa_2004_04_06_567</v>
      </c>
      <c r="C27" s="1">
        <f t="shared" si="1"/>
        <v>45762</v>
      </c>
      <c r="D27" t="s">
        <v>78</v>
      </c>
      <c r="E27">
        <v>192.02699999999999</v>
      </c>
      <c r="F27">
        <v>192.39599999999999</v>
      </c>
      <c r="G27">
        <v>3.9860000000000002</v>
      </c>
      <c r="H27">
        <v>151.17500000000001</v>
      </c>
      <c r="I27">
        <v>0</v>
      </c>
      <c r="J27">
        <v>194.273</v>
      </c>
      <c r="K27">
        <v>0.93867187500000004</v>
      </c>
      <c r="L27">
        <v>0.61799999999999999</v>
      </c>
      <c r="M27">
        <v>-28.074999999999999</v>
      </c>
      <c r="N27">
        <v>549.75800000000004</v>
      </c>
      <c r="O27">
        <v>548.96299999999997</v>
      </c>
      <c r="P27">
        <v>51.765000000000001</v>
      </c>
      <c r="Q27">
        <v>457.46899999999999</v>
      </c>
      <c r="R27">
        <v>914.93799999999999</v>
      </c>
      <c r="S27">
        <v>1177.194</v>
      </c>
      <c r="T27">
        <v>1189.4190000000001</v>
      </c>
      <c r="U27">
        <v>64.796000000000006</v>
      </c>
      <c r="V27">
        <v>1097.925</v>
      </c>
      <c r="W27">
        <v>1646.8879999999999</v>
      </c>
      <c r="X27">
        <v>2777.152</v>
      </c>
      <c r="Y27">
        <v>2790.56</v>
      </c>
      <c r="Z27">
        <v>97.468000000000004</v>
      </c>
      <c r="AA27">
        <v>2378.8380000000002</v>
      </c>
      <c r="AB27">
        <v>3019.2950000000001</v>
      </c>
      <c r="AC27">
        <v>2.56</v>
      </c>
      <c r="AD27">
        <v>194.72499999999999</v>
      </c>
      <c r="AE27">
        <v>193.90700000000001</v>
      </c>
      <c r="AF27">
        <v>21.434000000000001</v>
      </c>
      <c r="AG27">
        <v>98.438000000000002</v>
      </c>
      <c r="AH27">
        <v>2.2260273972602742E-2</v>
      </c>
      <c r="AI27">
        <v>320.22800000000001</v>
      </c>
      <c r="AJ27">
        <v>0</v>
      </c>
      <c r="AK27">
        <v>3.6629999999999998</v>
      </c>
      <c r="AL27">
        <v>-28.594000000000001</v>
      </c>
      <c r="AM27">
        <v>328.75799999999998</v>
      </c>
      <c r="AN27">
        <v>324.947</v>
      </c>
      <c r="AO27">
        <v>26.73</v>
      </c>
      <c r="AP27">
        <v>278.52600000000001</v>
      </c>
      <c r="AQ27">
        <v>557.053</v>
      </c>
      <c r="AR27">
        <v>2503.6</v>
      </c>
      <c r="AS27">
        <v>2506.7370000000001</v>
      </c>
      <c r="AT27">
        <v>99.096000000000004</v>
      </c>
      <c r="AU27">
        <v>1764</v>
      </c>
      <c r="AV27">
        <v>2599.5790000000002</v>
      </c>
      <c r="AW27">
        <v>3178.11</v>
      </c>
      <c r="AX27">
        <v>3156.6320000000001</v>
      </c>
      <c r="AY27">
        <v>103.199</v>
      </c>
      <c r="AZ27">
        <v>2924.5259999999998</v>
      </c>
      <c r="BA27">
        <v>3528</v>
      </c>
      <c r="BB27">
        <v>2.92</v>
      </c>
      <c r="BC27">
        <v>196.637</v>
      </c>
      <c r="BD27">
        <v>192.33600000000001</v>
      </c>
      <c r="BE27">
        <v>23.945</v>
      </c>
      <c r="BF27">
        <v>182.447</v>
      </c>
      <c r="BG27">
        <v>0.98199999999999998</v>
      </c>
      <c r="BH27">
        <v>346.46499999999997</v>
      </c>
      <c r="BI27">
        <v>8.7999999999999988E-3</v>
      </c>
      <c r="BJ27">
        <v>0.91800000000000004</v>
      </c>
      <c r="BK27">
        <v>-29.126000000000001</v>
      </c>
      <c r="BL27">
        <v>371.77600000000001</v>
      </c>
      <c r="BM27">
        <v>371.36799999999999</v>
      </c>
      <c r="BN27">
        <v>14.478</v>
      </c>
      <c r="BO27">
        <v>324.947</v>
      </c>
      <c r="BP27">
        <v>510.63200000000001</v>
      </c>
      <c r="BQ27">
        <v>1197.663</v>
      </c>
      <c r="BR27">
        <v>1067.684</v>
      </c>
      <c r="BS27">
        <v>336.99299999999999</v>
      </c>
      <c r="BT27">
        <v>928.42100000000005</v>
      </c>
      <c r="BU27">
        <v>1717.579</v>
      </c>
      <c r="BV27">
        <v>4016.8339999999998</v>
      </c>
      <c r="BW27">
        <v>3992.2109999999998</v>
      </c>
      <c r="BX27">
        <v>297.45100000000002</v>
      </c>
      <c r="BY27">
        <v>3203.0529999999999</v>
      </c>
      <c r="BZ27">
        <v>4781.3680000000004</v>
      </c>
      <c r="CA27">
        <v>2.5</v>
      </c>
      <c r="CB27">
        <v>6</v>
      </c>
      <c r="CC27">
        <v>6</v>
      </c>
      <c r="CD27">
        <v>0</v>
      </c>
      <c r="CE27">
        <v>6</v>
      </c>
      <c r="CF27">
        <v>2</v>
      </c>
    </row>
    <row r="28" spans="1:84" x14ac:dyDescent="0.35">
      <c r="A28" t="s">
        <v>440</v>
      </c>
      <c r="B28" t="str">
        <f t="shared" si="2"/>
        <v xml:space="preserve"> be_ra_2005_06_09_810</v>
      </c>
      <c r="C28" s="1">
        <f t="shared" si="1"/>
        <v>45762</v>
      </c>
      <c r="D28" t="s">
        <v>78</v>
      </c>
      <c r="E28">
        <v>174.72399999999999</v>
      </c>
      <c r="F28">
        <v>171.453</v>
      </c>
      <c r="G28">
        <v>13.54</v>
      </c>
      <c r="H28">
        <v>166.685</v>
      </c>
      <c r="I28">
        <v>0.95431034482758625</v>
      </c>
      <c r="J28">
        <v>245.78</v>
      </c>
      <c r="K28">
        <v>2.0689655172413796E-2</v>
      </c>
      <c r="L28">
        <v>1.272</v>
      </c>
      <c r="M28">
        <v>-17.081</v>
      </c>
      <c r="N28">
        <v>928.47699999999998</v>
      </c>
      <c r="O28">
        <v>933.78200000000004</v>
      </c>
      <c r="P28">
        <v>69.289000000000001</v>
      </c>
      <c r="Q28">
        <v>509.33600000000001</v>
      </c>
      <c r="R28">
        <v>976.22699999999998</v>
      </c>
      <c r="S28">
        <v>1290.1410000000001</v>
      </c>
      <c r="T28">
        <v>1273.3399999999999</v>
      </c>
      <c r="U28">
        <v>68.238</v>
      </c>
      <c r="V28">
        <v>1230.895</v>
      </c>
      <c r="W28">
        <v>1655.3420000000001</v>
      </c>
      <c r="X28">
        <v>2745.6390000000001</v>
      </c>
      <c r="Y28">
        <v>2652.7910000000002</v>
      </c>
      <c r="Z28">
        <v>275.37299999999999</v>
      </c>
      <c r="AA28">
        <v>2419.346</v>
      </c>
      <c r="AB28">
        <v>3692.6849999999999</v>
      </c>
      <c r="AC28">
        <v>1.1599999999999999</v>
      </c>
      <c r="AD28">
        <v>170.22300000000001</v>
      </c>
      <c r="AE28">
        <v>169.755</v>
      </c>
      <c r="AF28">
        <v>2.5099999999999998</v>
      </c>
      <c r="AG28">
        <v>164.11500000000001</v>
      </c>
      <c r="AH28">
        <v>0.97179487179487178</v>
      </c>
      <c r="AI28">
        <v>180.738</v>
      </c>
      <c r="AJ28">
        <v>0.98782051282051275</v>
      </c>
      <c r="AK28">
        <v>0.67600000000000005</v>
      </c>
      <c r="AL28">
        <v>-28.306999999999999</v>
      </c>
      <c r="AM28">
        <v>326.06299999999999</v>
      </c>
      <c r="AN28">
        <v>326.06299999999999</v>
      </c>
      <c r="AO28">
        <v>0</v>
      </c>
      <c r="AP28">
        <v>326.06299999999999</v>
      </c>
      <c r="AQ28">
        <v>326.06299999999999</v>
      </c>
      <c r="AR28">
        <v>2388.7649999999999</v>
      </c>
      <c r="AS28">
        <v>2404.7130000000002</v>
      </c>
      <c r="AT28">
        <v>140.791</v>
      </c>
      <c r="AU28">
        <v>1548.799</v>
      </c>
      <c r="AV28">
        <v>2486.2289999999998</v>
      </c>
      <c r="AW28">
        <v>3507.8049999999998</v>
      </c>
      <c r="AX28">
        <v>3525.5549999999998</v>
      </c>
      <c r="AY28">
        <v>84.427000000000007</v>
      </c>
      <c r="AZ28">
        <v>3179.1129999999998</v>
      </c>
      <c r="BA28">
        <v>3708.9650000000001</v>
      </c>
      <c r="BB28">
        <v>1.56</v>
      </c>
      <c r="BC28">
        <v>170.65299999999999</v>
      </c>
      <c r="BD28">
        <v>167.81800000000001</v>
      </c>
      <c r="BE28">
        <v>17.609000000000002</v>
      </c>
      <c r="BF28">
        <v>150</v>
      </c>
      <c r="BG28">
        <v>0.98541666666666661</v>
      </c>
      <c r="BH28">
        <v>315</v>
      </c>
      <c r="BI28">
        <v>2.5520833333333336E-2</v>
      </c>
      <c r="BJ28">
        <v>1.7150000000000001</v>
      </c>
      <c r="BK28">
        <v>-28.53</v>
      </c>
      <c r="BL28">
        <v>350.65499999999997</v>
      </c>
      <c r="BM28">
        <v>330.02800000000002</v>
      </c>
      <c r="BN28">
        <v>99.914000000000001</v>
      </c>
      <c r="BO28">
        <v>330.02800000000002</v>
      </c>
      <c r="BP28">
        <v>948.83100000000002</v>
      </c>
      <c r="BQ28">
        <v>1150.098</v>
      </c>
      <c r="BR28">
        <v>1113.845</v>
      </c>
      <c r="BS28">
        <v>200.98099999999999</v>
      </c>
      <c r="BT28">
        <v>1031.338</v>
      </c>
      <c r="BU28">
        <v>2145.1819999999998</v>
      </c>
      <c r="BV28">
        <v>3586.94</v>
      </c>
      <c r="BW28">
        <v>3630.3090000000002</v>
      </c>
      <c r="BX28">
        <v>195.19</v>
      </c>
      <c r="BY28">
        <v>2846.4920000000002</v>
      </c>
      <c r="BZ28">
        <v>4331.6180000000004</v>
      </c>
      <c r="CA28">
        <v>1.92</v>
      </c>
      <c r="CB28">
        <v>4</v>
      </c>
      <c r="CC28">
        <v>4</v>
      </c>
      <c r="CD28">
        <v>1</v>
      </c>
      <c r="CE28">
        <v>1</v>
      </c>
      <c r="CF28">
        <v>1</v>
      </c>
    </row>
    <row r="29" spans="1:84" x14ac:dyDescent="0.35">
      <c r="A29" t="s">
        <v>441</v>
      </c>
      <c r="B29" t="str">
        <f t="shared" si="2"/>
        <v xml:space="preserve"> bi_za_2005_02_22_631</v>
      </c>
      <c r="C29" s="1">
        <f t="shared" si="1"/>
        <v>45762</v>
      </c>
      <c r="D29" t="s">
        <v>78</v>
      </c>
      <c r="E29">
        <v>186.22399999999999</v>
      </c>
      <c r="F29">
        <v>185.62799999999999</v>
      </c>
      <c r="G29">
        <v>4.9450000000000003</v>
      </c>
      <c r="H29">
        <v>180</v>
      </c>
      <c r="I29">
        <v>4.8913043478260865E-2</v>
      </c>
      <c r="J29">
        <v>225</v>
      </c>
      <c r="K29">
        <v>1.2499999999999999E-2</v>
      </c>
      <c r="L29">
        <v>0.79600000000000004</v>
      </c>
      <c r="M29">
        <v>-30.785</v>
      </c>
      <c r="N29">
        <v>785.06399999999996</v>
      </c>
      <c r="O29">
        <v>808.35</v>
      </c>
      <c r="P29">
        <v>74.846999999999994</v>
      </c>
      <c r="Q29">
        <v>538.9</v>
      </c>
      <c r="R29">
        <v>1077.8</v>
      </c>
      <c r="S29">
        <v>1174.27</v>
      </c>
      <c r="T29">
        <v>1167.617</v>
      </c>
      <c r="U29">
        <v>63.95</v>
      </c>
      <c r="V29">
        <v>1077.8</v>
      </c>
      <c r="W29">
        <v>1481.9760000000001</v>
      </c>
      <c r="X29">
        <v>3485.11</v>
      </c>
      <c r="Y29">
        <v>3502.8510000000001</v>
      </c>
      <c r="Z29">
        <v>199.66300000000001</v>
      </c>
      <c r="AA29">
        <v>2919.0430000000001</v>
      </c>
      <c r="AB29">
        <v>4041.752</v>
      </c>
      <c r="AC29">
        <v>1.84</v>
      </c>
      <c r="AD29">
        <v>184.42500000000001</v>
      </c>
      <c r="AE29">
        <v>184.07900000000001</v>
      </c>
      <c r="AF29">
        <v>1.976</v>
      </c>
      <c r="AG29">
        <v>180.315</v>
      </c>
      <c r="AH29">
        <v>0.3585423197492163</v>
      </c>
      <c r="AI29">
        <v>190.90899999999999</v>
      </c>
      <c r="AJ29">
        <v>1</v>
      </c>
      <c r="AK29">
        <v>0.47899999999999998</v>
      </c>
      <c r="AL29">
        <v>-28.533000000000001</v>
      </c>
      <c r="AM29">
        <v>324.935</v>
      </c>
      <c r="AN29">
        <v>307.77699999999999</v>
      </c>
      <c r="AO29">
        <v>39.176000000000002</v>
      </c>
      <c r="AP29">
        <v>307.77699999999999</v>
      </c>
      <c r="AQ29">
        <v>527.61699999999996</v>
      </c>
      <c r="AR29">
        <v>2284.4009999999998</v>
      </c>
      <c r="AS29">
        <v>2330.3090000000002</v>
      </c>
      <c r="AT29">
        <v>186.608</v>
      </c>
      <c r="AU29">
        <v>1231.107</v>
      </c>
      <c r="AV29">
        <v>2506.181</v>
      </c>
      <c r="AW29">
        <v>3210.2420000000002</v>
      </c>
      <c r="AX29">
        <v>3209.6709999999998</v>
      </c>
      <c r="AY29">
        <v>184.965</v>
      </c>
      <c r="AZ29">
        <v>2813.9580000000001</v>
      </c>
      <c r="BA29">
        <v>3693.32</v>
      </c>
      <c r="BB29">
        <v>2.552</v>
      </c>
      <c r="BC29">
        <v>184.83699999999999</v>
      </c>
      <c r="BD29">
        <v>183.85900000000001</v>
      </c>
      <c r="BE29">
        <v>2.593</v>
      </c>
      <c r="BF29">
        <v>181.80199999999999</v>
      </c>
      <c r="BG29">
        <v>0.66630434782608694</v>
      </c>
      <c r="BH29">
        <v>192.57599999999999</v>
      </c>
      <c r="BI29">
        <v>0</v>
      </c>
      <c r="BJ29">
        <v>0.35499999999999998</v>
      </c>
      <c r="BK29">
        <v>-29.048999999999999</v>
      </c>
      <c r="BL29">
        <v>403.01100000000002</v>
      </c>
      <c r="BM29">
        <v>394.14100000000002</v>
      </c>
      <c r="BN29">
        <v>55.386000000000003</v>
      </c>
      <c r="BO29">
        <v>350.34800000000001</v>
      </c>
      <c r="BP29">
        <v>700.69500000000005</v>
      </c>
      <c r="BQ29">
        <v>976.88599999999997</v>
      </c>
      <c r="BR29">
        <v>963.45600000000002</v>
      </c>
      <c r="BS29">
        <v>67.143000000000001</v>
      </c>
      <c r="BT29">
        <v>919.66200000000003</v>
      </c>
      <c r="BU29">
        <v>1532.771</v>
      </c>
      <c r="BV29">
        <v>3351.5839999999998</v>
      </c>
      <c r="BW29">
        <v>3284.5079999999998</v>
      </c>
      <c r="BX29">
        <v>288.09899999999999</v>
      </c>
      <c r="BY29">
        <v>2934.1610000000001</v>
      </c>
      <c r="BZ29">
        <v>4072.79</v>
      </c>
      <c r="CA29">
        <v>1.84</v>
      </c>
      <c r="CB29">
        <v>6</v>
      </c>
      <c r="CC29">
        <v>1</v>
      </c>
      <c r="CD29">
        <v>0</v>
      </c>
      <c r="CE29">
        <v>2</v>
      </c>
      <c r="CF29">
        <v>2</v>
      </c>
    </row>
    <row r="30" spans="1:84" x14ac:dyDescent="0.35">
      <c r="A30" t="s">
        <v>442</v>
      </c>
      <c r="B30" t="str">
        <f t="shared" si="2"/>
        <v xml:space="preserve"> ca_ba_1999_03_11_977</v>
      </c>
      <c r="C30" s="1">
        <f t="shared" si="1"/>
        <v>45762</v>
      </c>
      <c r="D30" t="s">
        <v>78</v>
      </c>
      <c r="E30">
        <v>183.53399999999999</v>
      </c>
      <c r="F30">
        <v>183.422</v>
      </c>
      <c r="G30">
        <v>1.8480000000000001</v>
      </c>
      <c r="H30">
        <v>178.749</v>
      </c>
      <c r="I30">
        <v>0.98662790697674418</v>
      </c>
      <c r="J30">
        <v>188.34700000000001</v>
      </c>
      <c r="K30">
        <v>0.58662790697674416</v>
      </c>
      <c r="L30">
        <v>0.47199999999999998</v>
      </c>
      <c r="M30">
        <v>-26.806999999999999</v>
      </c>
      <c r="N30">
        <v>646.91800000000001</v>
      </c>
      <c r="O30">
        <v>662.82600000000002</v>
      </c>
      <c r="P30">
        <v>59.746000000000002</v>
      </c>
      <c r="Q30">
        <v>486.072</v>
      </c>
      <c r="R30">
        <v>927.95600000000002</v>
      </c>
      <c r="S30">
        <v>1153.6110000000001</v>
      </c>
      <c r="T30">
        <v>1148.8979999999999</v>
      </c>
      <c r="U30">
        <v>43.933</v>
      </c>
      <c r="V30">
        <v>1016.333</v>
      </c>
      <c r="W30">
        <v>1237.2750000000001</v>
      </c>
      <c r="X30">
        <v>3469.0819999999999</v>
      </c>
      <c r="Y30">
        <v>3446.6930000000002</v>
      </c>
      <c r="Z30">
        <v>105.366</v>
      </c>
      <c r="AA30">
        <v>3269.94</v>
      </c>
      <c r="AB30">
        <v>3844.3890000000001</v>
      </c>
      <c r="AC30">
        <v>1.72</v>
      </c>
      <c r="AD30">
        <v>184.28399999999999</v>
      </c>
      <c r="AE30">
        <v>183.96899999999999</v>
      </c>
      <c r="AF30">
        <v>2.6230000000000002</v>
      </c>
      <c r="AG30">
        <v>171.595</v>
      </c>
      <c r="AH30">
        <v>0</v>
      </c>
      <c r="AI30">
        <v>196.374</v>
      </c>
      <c r="AJ30">
        <v>1.1979166666666667E-2</v>
      </c>
      <c r="AK30">
        <v>0.56499999999999995</v>
      </c>
      <c r="AL30">
        <v>-29.073</v>
      </c>
      <c r="AM30">
        <v>351.59300000000002</v>
      </c>
      <c r="AN30">
        <v>351.04500000000002</v>
      </c>
      <c r="AO30">
        <v>4906</v>
      </c>
      <c r="AP30">
        <v>351.04500000000002</v>
      </c>
      <c r="AQ30">
        <v>394.92500000000001</v>
      </c>
      <c r="AR30">
        <v>2128.2089999999998</v>
      </c>
      <c r="AS30">
        <v>2128.2089999999998</v>
      </c>
      <c r="AT30">
        <v>775.70699999999999</v>
      </c>
      <c r="AU30">
        <v>1579.701</v>
      </c>
      <c r="AV30">
        <v>2676.7159999999999</v>
      </c>
      <c r="AW30">
        <v>3280.471</v>
      </c>
      <c r="AX30">
        <v>3291.0450000000001</v>
      </c>
      <c r="AY30">
        <v>168.22499999999999</v>
      </c>
      <c r="AZ30">
        <v>2896.1190000000001</v>
      </c>
      <c r="BA30">
        <v>3817.6120000000001</v>
      </c>
      <c r="BB30">
        <v>1.92</v>
      </c>
      <c r="BC30">
        <v>186.78700000000001</v>
      </c>
      <c r="BD30">
        <v>186.864</v>
      </c>
      <c r="BE30">
        <v>1.508</v>
      </c>
      <c r="BF30">
        <v>182.988</v>
      </c>
      <c r="BG30">
        <v>0.94947368421052636</v>
      </c>
      <c r="BH30">
        <v>191.97800000000001</v>
      </c>
      <c r="BI30">
        <v>0</v>
      </c>
      <c r="BJ30">
        <v>0.29199999999999998</v>
      </c>
      <c r="BK30">
        <v>-31.029</v>
      </c>
      <c r="BL30">
        <v>352.971</v>
      </c>
      <c r="BM30">
        <v>354.57299999999998</v>
      </c>
      <c r="BN30">
        <v>14.595000000000001</v>
      </c>
      <c r="BO30">
        <v>310.25099999999998</v>
      </c>
      <c r="BP30">
        <v>443.21600000000001</v>
      </c>
      <c r="BV30">
        <v>3750.2489999999998</v>
      </c>
      <c r="BW30">
        <v>3767.337</v>
      </c>
      <c r="BX30">
        <v>173.43799999999999</v>
      </c>
      <c r="BY30">
        <v>3324.1210000000001</v>
      </c>
      <c r="BZ30">
        <v>4343.518</v>
      </c>
      <c r="CA30">
        <v>1.9</v>
      </c>
      <c r="CB30">
        <v>5</v>
      </c>
      <c r="CC30">
        <v>1</v>
      </c>
      <c r="CD30">
        <v>1</v>
      </c>
      <c r="CE30">
        <v>3</v>
      </c>
      <c r="CF30">
        <v>3</v>
      </c>
    </row>
    <row r="31" spans="1:84" x14ac:dyDescent="0.35">
      <c r="A31" t="s">
        <v>443</v>
      </c>
      <c r="B31" t="str">
        <f t="shared" si="2"/>
        <v xml:space="preserve"> ca_mu_2005_04_28_047</v>
      </c>
      <c r="C31" s="1">
        <f t="shared" si="1"/>
        <v>45762</v>
      </c>
      <c r="D31" t="s">
        <v>78</v>
      </c>
      <c r="E31">
        <v>190.31800000000001</v>
      </c>
      <c r="F31">
        <v>189.852</v>
      </c>
      <c r="G31">
        <v>3.7549999999999999</v>
      </c>
      <c r="H31">
        <v>184.40899999999999</v>
      </c>
      <c r="I31">
        <v>4.1386554621848745E-2</v>
      </c>
      <c r="J31">
        <v>226.81899999999999</v>
      </c>
      <c r="K31">
        <v>8.8235294117647075E-3</v>
      </c>
      <c r="L31">
        <v>0.42499999999999999</v>
      </c>
      <c r="M31">
        <v>-18.815000000000001</v>
      </c>
      <c r="N31">
        <v>717.65700000000004</v>
      </c>
      <c r="O31">
        <v>725.92600000000004</v>
      </c>
      <c r="P31">
        <v>54.902000000000001</v>
      </c>
      <c r="Q31">
        <v>499.07400000000001</v>
      </c>
      <c r="R31">
        <v>862.03700000000003</v>
      </c>
      <c r="S31">
        <v>1147.376</v>
      </c>
      <c r="T31">
        <v>1134.259</v>
      </c>
      <c r="U31">
        <v>71.212999999999994</v>
      </c>
      <c r="V31">
        <v>1043.519</v>
      </c>
      <c r="W31">
        <v>1361.1110000000001</v>
      </c>
      <c r="X31">
        <v>3012.8040000000001</v>
      </c>
      <c r="Y31">
        <v>2994.444</v>
      </c>
      <c r="Z31">
        <v>194.42400000000001</v>
      </c>
      <c r="AA31">
        <v>2586.1109999999999</v>
      </c>
      <c r="AB31">
        <v>3584.259</v>
      </c>
      <c r="AC31">
        <v>4.76</v>
      </c>
      <c r="AD31">
        <v>192.3</v>
      </c>
      <c r="AE31">
        <v>192.09700000000001</v>
      </c>
      <c r="AF31">
        <v>1.9370000000000001</v>
      </c>
      <c r="AG31">
        <v>186.18799999999999</v>
      </c>
      <c r="AH31">
        <v>1.0500000000000001E-2</v>
      </c>
      <c r="AI31">
        <v>204.43700000000001</v>
      </c>
      <c r="AJ31">
        <v>0.97724999999999995</v>
      </c>
      <c r="AK31">
        <v>0.36299999999999999</v>
      </c>
      <c r="AL31">
        <v>-27.225000000000001</v>
      </c>
      <c r="AM31">
        <v>362.517</v>
      </c>
      <c r="AN31">
        <v>364.08699999999999</v>
      </c>
      <c r="AO31">
        <v>9659</v>
      </c>
      <c r="AP31">
        <v>273.065</v>
      </c>
      <c r="AQ31">
        <v>364.08699999999999</v>
      </c>
      <c r="AR31">
        <v>2621.087</v>
      </c>
      <c r="AS31">
        <v>2639.6280000000002</v>
      </c>
      <c r="AT31">
        <v>91.242000000000004</v>
      </c>
      <c r="AU31">
        <v>1774.923</v>
      </c>
      <c r="AV31">
        <v>2685.1390000000001</v>
      </c>
      <c r="AW31">
        <v>3182.741</v>
      </c>
      <c r="AX31">
        <v>3140.248</v>
      </c>
      <c r="AY31">
        <v>179.536</v>
      </c>
      <c r="AZ31">
        <v>2821.672</v>
      </c>
      <c r="BA31">
        <v>3868.4209999999998</v>
      </c>
      <c r="BB31">
        <v>4</v>
      </c>
      <c r="BC31">
        <v>193.98</v>
      </c>
      <c r="BD31">
        <v>194.15100000000001</v>
      </c>
      <c r="BE31">
        <v>3.218</v>
      </c>
      <c r="BF31">
        <v>178.54300000000001</v>
      </c>
      <c r="BG31">
        <v>2.0370370370370369E-2</v>
      </c>
      <c r="BH31">
        <v>208.15899999999999</v>
      </c>
      <c r="BI31">
        <v>0</v>
      </c>
      <c r="BJ31">
        <v>0.46800000000000003</v>
      </c>
      <c r="BK31">
        <v>-27.385999999999999</v>
      </c>
      <c r="BL31">
        <v>363.96600000000001</v>
      </c>
      <c r="BM31">
        <v>367.5</v>
      </c>
      <c r="BN31">
        <v>14.693</v>
      </c>
      <c r="BO31">
        <v>275.625</v>
      </c>
      <c r="BP31">
        <v>367.5</v>
      </c>
      <c r="BQ31">
        <v>1113.9839999999999</v>
      </c>
      <c r="BR31">
        <v>1056.5630000000001</v>
      </c>
      <c r="BS31">
        <v>129.35</v>
      </c>
      <c r="BT31">
        <v>1056.5630000000001</v>
      </c>
      <c r="BU31">
        <v>1424.0630000000001</v>
      </c>
      <c r="BV31">
        <v>4095.433</v>
      </c>
      <c r="BW31">
        <v>4088.4380000000001</v>
      </c>
      <c r="BX31">
        <v>289.78199999999998</v>
      </c>
      <c r="BY31">
        <v>2848.125</v>
      </c>
      <c r="BZ31">
        <v>4593.75</v>
      </c>
      <c r="CA31">
        <v>4.32</v>
      </c>
      <c r="CB31">
        <v>5</v>
      </c>
      <c r="CC31">
        <v>1</v>
      </c>
      <c r="CD31">
        <v>0</v>
      </c>
      <c r="CE31">
        <v>3</v>
      </c>
      <c r="CF31">
        <v>2</v>
      </c>
    </row>
    <row r="32" spans="1:84" x14ac:dyDescent="0.35">
      <c r="A32" t="s">
        <v>444</v>
      </c>
      <c r="B32" t="str">
        <f t="shared" si="2"/>
        <v xml:space="preserve"> ca_pa_2005_04_20_282</v>
      </c>
      <c r="C32" s="1">
        <f t="shared" si="1"/>
        <v>45762</v>
      </c>
      <c r="D32" t="s">
        <v>78</v>
      </c>
      <c r="E32">
        <v>167.71</v>
      </c>
      <c r="F32">
        <v>167.77199999999999</v>
      </c>
      <c r="G32">
        <v>2.1920000000000002</v>
      </c>
      <c r="H32">
        <v>159.78299999999999</v>
      </c>
      <c r="I32">
        <v>5.6306306306306304E-3</v>
      </c>
      <c r="J32">
        <v>175.99799999999999</v>
      </c>
      <c r="K32">
        <v>0.99256756756756748</v>
      </c>
      <c r="L32">
        <v>0.56000000000000005</v>
      </c>
      <c r="M32">
        <v>-21.957999999999998</v>
      </c>
      <c r="N32">
        <v>636.21600000000001</v>
      </c>
      <c r="O32">
        <v>642.62300000000005</v>
      </c>
      <c r="P32">
        <v>75.063999999999993</v>
      </c>
      <c r="Q32">
        <v>441.803</v>
      </c>
      <c r="R32">
        <v>843.44299999999998</v>
      </c>
      <c r="S32">
        <v>1178.1420000000001</v>
      </c>
      <c r="T32">
        <v>1204.9179999999999</v>
      </c>
      <c r="U32">
        <v>43.628</v>
      </c>
      <c r="V32">
        <v>1004.098</v>
      </c>
      <c r="W32">
        <v>1285.2460000000001</v>
      </c>
      <c r="X32">
        <v>3160.2440000000001</v>
      </c>
      <c r="Y32">
        <v>3172.951</v>
      </c>
      <c r="Z32">
        <v>108.917</v>
      </c>
      <c r="AA32">
        <v>2771.3110000000001</v>
      </c>
      <c r="AB32">
        <v>3413.9340000000002</v>
      </c>
      <c r="AC32">
        <v>4.4400000000000004</v>
      </c>
      <c r="AD32">
        <v>173.601</v>
      </c>
      <c r="AE32">
        <v>173.33</v>
      </c>
      <c r="AF32">
        <v>6.1970000000000001</v>
      </c>
      <c r="AG32">
        <v>161.62299999999999</v>
      </c>
      <c r="AH32">
        <v>0.99384615384615382</v>
      </c>
      <c r="AI32">
        <v>248.15100000000001</v>
      </c>
      <c r="AJ32">
        <v>1</v>
      </c>
      <c r="AK32">
        <v>0.67</v>
      </c>
      <c r="AL32">
        <v>-25.960999999999999</v>
      </c>
      <c r="AM32">
        <v>323.15199999999999</v>
      </c>
      <c r="AN32">
        <v>330.02800000000002</v>
      </c>
      <c r="AO32">
        <v>15.481999999999999</v>
      </c>
      <c r="AP32">
        <v>288.77499999999998</v>
      </c>
      <c r="AQ32">
        <v>330.02800000000002</v>
      </c>
      <c r="AR32">
        <v>2516.4639999999999</v>
      </c>
      <c r="AS32">
        <v>2516.4639999999999</v>
      </c>
      <c r="AT32">
        <v>0</v>
      </c>
      <c r="AU32">
        <v>2516.4639999999999</v>
      </c>
      <c r="AV32">
        <v>2516.4639999999999</v>
      </c>
      <c r="AW32">
        <v>3268.0509999999999</v>
      </c>
      <c r="AX32">
        <v>3259.027</v>
      </c>
      <c r="AY32">
        <v>133.99</v>
      </c>
      <c r="AZ32">
        <v>3011.5059999999999</v>
      </c>
      <c r="BA32">
        <v>3671.5619999999999</v>
      </c>
      <c r="BB32">
        <v>3.9</v>
      </c>
      <c r="BC32">
        <v>173.43</v>
      </c>
      <c r="BD32">
        <v>173.91499999999999</v>
      </c>
      <c r="BE32">
        <v>5.3470000000000004</v>
      </c>
      <c r="BF32">
        <v>124.07599999999999</v>
      </c>
      <c r="BG32">
        <v>0</v>
      </c>
      <c r="BH32">
        <v>187.66</v>
      </c>
      <c r="BI32">
        <v>0.98442622950819669</v>
      </c>
      <c r="BJ32">
        <v>0.93600000000000005</v>
      </c>
      <c r="BK32">
        <v>-28.248000000000001</v>
      </c>
      <c r="BL32">
        <v>331.233</v>
      </c>
      <c r="BM32">
        <v>330.95699999999999</v>
      </c>
      <c r="BN32">
        <v>7573</v>
      </c>
      <c r="BO32">
        <v>289.58699999999999</v>
      </c>
      <c r="BP32">
        <v>372.32600000000002</v>
      </c>
      <c r="BQ32">
        <v>1051.97</v>
      </c>
      <c r="BR32">
        <v>1034.24</v>
      </c>
      <c r="BS32">
        <v>32.548999999999999</v>
      </c>
      <c r="BT32">
        <v>1034.24</v>
      </c>
      <c r="BU32">
        <v>1116.979</v>
      </c>
      <c r="BV32">
        <v>3355.902</v>
      </c>
      <c r="BW32">
        <v>3309.5680000000002</v>
      </c>
      <c r="BX32">
        <v>322.01799999999997</v>
      </c>
      <c r="BY32">
        <v>2771.7640000000001</v>
      </c>
      <c r="BZ32">
        <v>4136.9610000000002</v>
      </c>
      <c r="CA32">
        <v>3.66</v>
      </c>
      <c r="CB32">
        <v>6</v>
      </c>
      <c r="CC32">
        <v>1</v>
      </c>
      <c r="CD32">
        <v>0</v>
      </c>
      <c r="CE32">
        <v>3</v>
      </c>
      <c r="CF32">
        <v>0</v>
      </c>
    </row>
    <row r="33" spans="1:84" x14ac:dyDescent="0.35">
      <c r="A33" t="s">
        <v>445</v>
      </c>
      <c r="B33" t="str">
        <f t="shared" si="2"/>
        <v xml:space="preserve"> ca_po_2005_11_08_041</v>
      </c>
      <c r="C33" s="1">
        <f t="shared" si="1"/>
        <v>45762</v>
      </c>
      <c r="D33" t="s">
        <v>78</v>
      </c>
      <c r="E33">
        <v>172.274</v>
      </c>
      <c r="F33">
        <v>171.97800000000001</v>
      </c>
      <c r="G33">
        <v>3.7759999999999998</v>
      </c>
      <c r="H33">
        <v>165.7</v>
      </c>
      <c r="I33">
        <v>0</v>
      </c>
      <c r="J33">
        <v>181.58799999999999</v>
      </c>
      <c r="K33">
        <v>0.94272727272727253</v>
      </c>
      <c r="L33">
        <v>0.86799999999999999</v>
      </c>
      <c r="M33">
        <v>-26.751999999999999</v>
      </c>
      <c r="N33">
        <v>575.553</v>
      </c>
      <c r="O33">
        <v>559.53899999999999</v>
      </c>
      <c r="P33">
        <v>77.006</v>
      </c>
      <c r="Q33">
        <v>455.92099999999999</v>
      </c>
      <c r="R33">
        <v>787.5</v>
      </c>
      <c r="S33">
        <v>1172.7719999999999</v>
      </c>
      <c r="T33">
        <v>1160.5260000000001</v>
      </c>
      <c r="U33">
        <v>43.405999999999999</v>
      </c>
      <c r="V33">
        <v>1077.6320000000001</v>
      </c>
      <c r="W33">
        <v>1284.8679999999999</v>
      </c>
      <c r="X33">
        <v>2872.114</v>
      </c>
      <c r="Y33">
        <v>2880.5920000000001</v>
      </c>
      <c r="Z33">
        <v>119.117</v>
      </c>
      <c r="AA33">
        <v>2569.7370000000001</v>
      </c>
      <c r="AB33">
        <v>3150</v>
      </c>
      <c r="AC33">
        <v>1.1000000000000001</v>
      </c>
      <c r="AD33">
        <v>164.12100000000001</v>
      </c>
      <c r="AE33">
        <v>163.07400000000001</v>
      </c>
      <c r="AF33">
        <v>3.9860000000000002</v>
      </c>
      <c r="AG33">
        <v>158.79599999999999</v>
      </c>
      <c r="AH33">
        <v>0.76454545454545442</v>
      </c>
      <c r="AI33">
        <v>179.58099999999999</v>
      </c>
      <c r="AJ33">
        <v>1.8181818181818181E-2</v>
      </c>
      <c r="AK33">
        <v>0.80700000000000005</v>
      </c>
      <c r="AL33">
        <v>-28.370999999999999</v>
      </c>
      <c r="AM33">
        <v>291.75700000000001</v>
      </c>
      <c r="AN33">
        <v>279.11399999999998</v>
      </c>
      <c r="AO33">
        <v>18.785</v>
      </c>
      <c r="AP33">
        <v>279.11399999999998</v>
      </c>
      <c r="AQ33">
        <v>318.98700000000002</v>
      </c>
      <c r="AR33">
        <v>2077.4050000000002</v>
      </c>
      <c r="AS33">
        <v>2033.5440000000001</v>
      </c>
      <c r="AT33">
        <v>187.41499999999999</v>
      </c>
      <c r="AU33">
        <v>1714.557</v>
      </c>
      <c r="AV33">
        <v>2512.0250000000001</v>
      </c>
      <c r="AW33">
        <v>3305.7849999999999</v>
      </c>
      <c r="AX33">
        <v>3309.4940000000001</v>
      </c>
      <c r="AY33">
        <v>147.61500000000001</v>
      </c>
      <c r="AZ33">
        <v>2831.0129999999999</v>
      </c>
      <c r="BA33">
        <v>3548.7339999999999</v>
      </c>
      <c r="BB33">
        <v>1.1000000000000001</v>
      </c>
      <c r="BC33">
        <v>187.029</v>
      </c>
      <c r="BD33">
        <v>187.09100000000001</v>
      </c>
      <c r="BE33">
        <v>7.8630000000000004</v>
      </c>
      <c r="BF33">
        <v>172.554</v>
      </c>
      <c r="BG33">
        <v>0.66874999999999996</v>
      </c>
      <c r="BH33">
        <v>206.488</v>
      </c>
      <c r="BI33">
        <v>0</v>
      </c>
      <c r="BJ33">
        <v>1.591</v>
      </c>
      <c r="BK33">
        <v>-20.89</v>
      </c>
      <c r="BL33">
        <v>358.125</v>
      </c>
      <c r="BM33">
        <v>360</v>
      </c>
      <c r="BN33">
        <v>9087</v>
      </c>
      <c r="BO33">
        <v>315</v>
      </c>
      <c r="BP33">
        <v>360</v>
      </c>
      <c r="BQ33">
        <v>1093.5</v>
      </c>
      <c r="BR33">
        <v>1080</v>
      </c>
      <c r="BS33">
        <v>52.177999999999997</v>
      </c>
      <c r="BT33">
        <v>1035</v>
      </c>
      <c r="BU33">
        <v>1170</v>
      </c>
      <c r="BV33">
        <v>3290.51</v>
      </c>
      <c r="BW33">
        <v>3240</v>
      </c>
      <c r="BX33">
        <v>159.267</v>
      </c>
      <c r="BY33">
        <v>3060</v>
      </c>
      <c r="BZ33">
        <v>3780</v>
      </c>
      <c r="CA33">
        <v>1.1200000000000001</v>
      </c>
      <c r="CB33">
        <v>4</v>
      </c>
      <c r="CC33">
        <v>1</v>
      </c>
      <c r="CD33">
        <v>0</v>
      </c>
      <c r="CE33">
        <v>3</v>
      </c>
      <c r="CF33">
        <v>1</v>
      </c>
    </row>
    <row r="34" spans="1:84" x14ac:dyDescent="0.35">
      <c r="A34" t="s">
        <v>446</v>
      </c>
      <c r="B34" t="str">
        <f t="shared" si="2"/>
        <v xml:space="preserve"> ca_ro_2004_09_03_927</v>
      </c>
      <c r="C34" s="1">
        <f t="shared" ref="C34:C65" si="3">DATEVALUE(SUBSTITUTE(_xlfn.TEXTAFTER(_xlfn.TEXTBEFORE(A34," -"),"a2_"),"_","/"))</f>
        <v>45762</v>
      </c>
      <c r="D34" t="s">
        <v>78</v>
      </c>
      <c r="E34">
        <v>176.066</v>
      </c>
      <c r="F34">
        <v>175.49700000000001</v>
      </c>
      <c r="G34">
        <v>5.0510000000000002</v>
      </c>
      <c r="H34">
        <v>172.554</v>
      </c>
      <c r="I34">
        <v>0.57171717171717162</v>
      </c>
      <c r="J34">
        <v>218.31700000000001</v>
      </c>
      <c r="K34">
        <v>0</v>
      </c>
      <c r="L34">
        <v>0.59199999999999997</v>
      </c>
      <c r="M34">
        <v>-28.108000000000001</v>
      </c>
      <c r="N34">
        <v>702.37599999999998</v>
      </c>
      <c r="O34">
        <v>714.68100000000004</v>
      </c>
      <c r="P34">
        <v>64.552000000000007</v>
      </c>
      <c r="Q34">
        <v>504.48</v>
      </c>
      <c r="R34">
        <v>1008.961</v>
      </c>
      <c r="S34">
        <v>1117.6500000000001</v>
      </c>
      <c r="T34">
        <v>1093.0409999999999</v>
      </c>
      <c r="U34">
        <v>72.650999999999996</v>
      </c>
      <c r="V34">
        <v>1051.001</v>
      </c>
      <c r="W34">
        <v>1471.4010000000001</v>
      </c>
      <c r="X34">
        <v>2897.174</v>
      </c>
      <c r="Y34">
        <v>2858.723</v>
      </c>
      <c r="Z34">
        <v>187.684</v>
      </c>
      <c r="AA34">
        <v>2522.402</v>
      </c>
      <c r="AB34">
        <v>3699.5230000000001</v>
      </c>
      <c r="AC34">
        <v>1.98</v>
      </c>
      <c r="AD34">
        <v>178.64400000000001</v>
      </c>
      <c r="AE34">
        <v>177.72</v>
      </c>
      <c r="AF34">
        <v>3.4950000000000001</v>
      </c>
      <c r="AG34">
        <v>174.60400000000001</v>
      </c>
      <c r="AH34">
        <v>0.8130208333333333</v>
      </c>
      <c r="AI34">
        <v>196</v>
      </c>
      <c r="AJ34">
        <v>0.98541666666666661</v>
      </c>
      <c r="AK34">
        <v>0.49399999999999999</v>
      </c>
      <c r="AL34">
        <v>-29.547999999999998</v>
      </c>
      <c r="AM34">
        <v>336.77300000000002</v>
      </c>
      <c r="AN34">
        <v>342.524</v>
      </c>
      <c r="AO34">
        <v>14.71</v>
      </c>
      <c r="AP34">
        <v>299.709</v>
      </c>
      <c r="AQ34">
        <v>342.524</v>
      </c>
      <c r="AR34">
        <v>1780.1379999999999</v>
      </c>
      <c r="AS34">
        <v>1798.252</v>
      </c>
      <c r="AT34">
        <v>137.102</v>
      </c>
      <c r="AU34">
        <v>1455.7280000000001</v>
      </c>
      <c r="AV34">
        <v>2012.33</v>
      </c>
      <c r="AW34">
        <v>3969.6869999999999</v>
      </c>
      <c r="AX34">
        <v>3981.8449999999998</v>
      </c>
      <c r="AY34">
        <v>128.667</v>
      </c>
      <c r="AZ34">
        <v>3125.5340000000001</v>
      </c>
      <c r="BA34">
        <v>4238.7380000000003</v>
      </c>
      <c r="BB34">
        <v>1.92</v>
      </c>
      <c r="BC34">
        <v>177.435</v>
      </c>
      <c r="BD34">
        <v>177.15899999999999</v>
      </c>
      <c r="BE34">
        <v>2.0569999999999999</v>
      </c>
      <c r="BF34">
        <v>175.09899999999999</v>
      </c>
      <c r="BG34">
        <v>0.12473684210526316</v>
      </c>
      <c r="BH34">
        <v>188.46199999999999</v>
      </c>
      <c r="BI34">
        <v>0.98526315789473695</v>
      </c>
      <c r="BJ34">
        <v>0.52200000000000002</v>
      </c>
      <c r="BK34">
        <v>-31.512</v>
      </c>
      <c r="BL34">
        <v>386.34899999999999</v>
      </c>
      <c r="BM34">
        <v>384.59300000000002</v>
      </c>
      <c r="BN34">
        <v>13.206</v>
      </c>
      <c r="BO34">
        <v>341.86</v>
      </c>
      <c r="BP34">
        <v>427.32600000000002</v>
      </c>
      <c r="BQ34">
        <v>989.596</v>
      </c>
      <c r="BR34">
        <v>982.84900000000005</v>
      </c>
      <c r="BS34">
        <v>20.995999999999999</v>
      </c>
      <c r="BT34">
        <v>940.11599999999999</v>
      </c>
      <c r="BU34">
        <v>1068.3140000000001</v>
      </c>
      <c r="BV34">
        <v>3481.1010000000001</v>
      </c>
      <c r="BW34">
        <v>3461.337</v>
      </c>
      <c r="BX34">
        <v>121.428</v>
      </c>
      <c r="BY34">
        <v>3204.942</v>
      </c>
      <c r="BZ34">
        <v>3803.1979999999999</v>
      </c>
      <c r="CA34">
        <v>1.9</v>
      </c>
      <c r="CB34">
        <v>6</v>
      </c>
      <c r="CC34">
        <v>1</v>
      </c>
      <c r="CD34">
        <v>1</v>
      </c>
      <c r="CE34">
        <v>2</v>
      </c>
      <c r="CF34">
        <v>3</v>
      </c>
    </row>
    <row r="35" spans="1:84" x14ac:dyDescent="0.35">
      <c r="A35" t="s">
        <v>447</v>
      </c>
      <c r="B35" t="str">
        <f t="shared" si="2"/>
        <v xml:space="preserve"> ca_te_2005_07_04_549</v>
      </c>
      <c r="C35" s="1">
        <f t="shared" si="3"/>
        <v>45762</v>
      </c>
      <c r="D35" t="s">
        <v>78</v>
      </c>
      <c r="E35">
        <v>193.86500000000001</v>
      </c>
      <c r="F35">
        <v>191.858</v>
      </c>
      <c r="G35">
        <v>8.7850000000000001</v>
      </c>
      <c r="H35">
        <v>190.203</v>
      </c>
      <c r="I35">
        <v>0.19788732394366201</v>
      </c>
      <c r="J35">
        <v>253.44800000000001</v>
      </c>
      <c r="K35">
        <v>0</v>
      </c>
      <c r="L35">
        <v>0.71099999999999997</v>
      </c>
      <c r="M35">
        <v>-26.24</v>
      </c>
      <c r="N35">
        <v>609.09799999999996</v>
      </c>
      <c r="O35">
        <v>610.54300000000001</v>
      </c>
      <c r="P35">
        <v>77.424999999999997</v>
      </c>
      <c r="Q35">
        <v>469.649</v>
      </c>
      <c r="R35">
        <v>892.33199999999999</v>
      </c>
      <c r="S35">
        <v>1142.145</v>
      </c>
      <c r="T35">
        <v>1127.1569999999999</v>
      </c>
      <c r="U35">
        <v>58.023000000000003</v>
      </c>
      <c r="V35">
        <v>1080.192</v>
      </c>
      <c r="W35">
        <v>1408.9459999999999</v>
      </c>
      <c r="X35">
        <v>2894.48</v>
      </c>
      <c r="Y35">
        <v>2864.8560000000002</v>
      </c>
      <c r="Z35">
        <v>96.667000000000002</v>
      </c>
      <c r="AA35">
        <v>2630.0320000000002</v>
      </c>
      <c r="AB35">
        <v>3240.5749999999998</v>
      </c>
      <c r="AC35">
        <v>1.42</v>
      </c>
      <c r="AD35">
        <v>196.953</v>
      </c>
      <c r="AE35">
        <v>197.505</v>
      </c>
      <c r="AF35">
        <v>2.661</v>
      </c>
      <c r="AG35">
        <v>180.315</v>
      </c>
      <c r="AH35">
        <v>0</v>
      </c>
      <c r="AI35">
        <v>202.82499999999999</v>
      </c>
      <c r="AJ35">
        <v>0.97537313432835815</v>
      </c>
      <c r="AK35">
        <v>0.51900000000000002</v>
      </c>
      <c r="AL35">
        <v>-28.530999999999999</v>
      </c>
      <c r="AM35">
        <v>360.26600000000002</v>
      </c>
      <c r="AN35">
        <v>379.76299999999998</v>
      </c>
      <c r="AO35">
        <v>32.356999999999999</v>
      </c>
      <c r="AP35">
        <v>332.29300000000001</v>
      </c>
      <c r="AQ35">
        <v>522.17399999999998</v>
      </c>
      <c r="AR35">
        <v>2250.7919999999999</v>
      </c>
      <c r="AS35">
        <v>2278.5790000000002</v>
      </c>
      <c r="AT35">
        <v>198.292</v>
      </c>
      <c r="AU35">
        <v>1708.934</v>
      </c>
      <c r="AV35">
        <v>2515.931</v>
      </c>
      <c r="AW35">
        <v>3325.2249999999999</v>
      </c>
      <c r="AX35">
        <v>3370.3980000000001</v>
      </c>
      <c r="AY35">
        <v>174.56100000000001</v>
      </c>
      <c r="AZ35">
        <v>2610.8719999999998</v>
      </c>
      <c r="BA35">
        <v>3512.8090000000002</v>
      </c>
      <c r="BB35">
        <v>1.34</v>
      </c>
      <c r="BC35">
        <v>207.59</v>
      </c>
      <c r="BD35">
        <v>207.46</v>
      </c>
      <c r="BE35">
        <v>2.1680000000000001</v>
      </c>
      <c r="BF35">
        <v>202.959</v>
      </c>
      <c r="BG35">
        <v>0.94729729729729728</v>
      </c>
      <c r="BH35">
        <v>216.17599999999999</v>
      </c>
      <c r="BI35">
        <v>0</v>
      </c>
      <c r="BJ35">
        <v>0.35399999999999998</v>
      </c>
      <c r="BK35">
        <v>-26.327999999999999</v>
      </c>
      <c r="BL35">
        <v>393.75</v>
      </c>
      <c r="BM35">
        <v>393.75</v>
      </c>
      <c r="BN35">
        <v>8441</v>
      </c>
      <c r="BO35">
        <v>344.53100000000001</v>
      </c>
      <c r="BP35">
        <v>442.96899999999999</v>
      </c>
      <c r="BQ35">
        <v>988.31299999999999</v>
      </c>
      <c r="BR35">
        <v>984.375</v>
      </c>
      <c r="BS35">
        <v>37.375999999999998</v>
      </c>
      <c r="BT35">
        <v>935.15599999999995</v>
      </c>
      <c r="BU35">
        <v>1132.0309999999999</v>
      </c>
      <c r="BV35">
        <v>3352.4209999999998</v>
      </c>
      <c r="BW35">
        <v>3396.0940000000001</v>
      </c>
      <c r="BX35">
        <v>205.905</v>
      </c>
      <c r="BY35">
        <v>2559.375</v>
      </c>
      <c r="BZ35">
        <v>3740.625</v>
      </c>
      <c r="CA35">
        <v>1.48</v>
      </c>
      <c r="CB35">
        <v>4</v>
      </c>
      <c r="CC35">
        <v>5</v>
      </c>
      <c r="CD35">
        <v>3</v>
      </c>
      <c r="CE35">
        <v>3</v>
      </c>
      <c r="CF35">
        <v>4</v>
      </c>
    </row>
    <row r="36" spans="1:84" x14ac:dyDescent="0.35">
      <c r="A36" t="s">
        <v>448</v>
      </c>
      <c r="B36" t="str">
        <f t="shared" si="2"/>
        <v xml:space="preserve"> ca_ur_2005_01_27_051</v>
      </c>
      <c r="C36" s="1">
        <f t="shared" si="3"/>
        <v>45762</v>
      </c>
      <c r="D36" t="s">
        <v>78</v>
      </c>
      <c r="E36">
        <v>217.114</v>
      </c>
      <c r="F36">
        <v>216.93600000000001</v>
      </c>
      <c r="G36">
        <v>2.35</v>
      </c>
      <c r="H36">
        <v>212.16499999999999</v>
      </c>
      <c r="I36">
        <v>0.5540856031128405</v>
      </c>
      <c r="J36">
        <v>243.64599999999999</v>
      </c>
      <c r="K36">
        <v>0</v>
      </c>
      <c r="L36">
        <v>0.29499999999999998</v>
      </c>
      <c r="M36">
        <v>-23.677</v>
      </c>
      <c r="N36">
        <v>671.726</v>
      </c>
      <c r="O36">
        <v>682.5</v>
      </c>
      <c r="P36">
        <v>43.548999999999999</v>
      </c>
      <c r="Q36">
        <v>577.5</v>
      </c>
      <c r="R36">
        <v>892.5</v>
      </c>
      <c r="S36">
        <v>1114.549</v>
      </c>
      <c r="T36">
        <v>1102.5</v>
      </c>
      <c r="U36">
        <v>73.563999999999993</v>
      </c>
      <c r="V36">
        <v>945</v>
      </c>
      <c r="W36">
        <v>1575</v>
      </c>
      <c r="X36">
        <v>3348.05</v>
      </c>
      <c r="Y36">
        <v>3255</v>
      </c>
      <c r="Z36">
        <v>453.733</v>
      </c>
      <c r="AA36">
        <v>2625</v>
      </c>
      <c r="AB36">
        <v>4410</v>
      </c>
      <c r="AC36">
        <v>5.14</v>
      </c>
      <c r="AD36">
        <v>223.327</v>
      </c>
      <c r="AE36">
        <v>222.56700000000001</v>
      </c>
      <c r="AF36">
        <v>3.4119999999999999</v>
      </c>
      <c r="AG36">
        <v>217.39400000000001</v>
      </c>
      <c r="AH36">
        <v>0.17915214866434379</v>
      </c>
      <c r="AI36">
        <v>243.262</v>
      </c>
      <c r="AJ36">
        <v>1.1614401858304297E-2</v>
      </c>
      <c r="AK36">
        <v>0.47099999999999997</v>
      </c>
      <c r="AL36">
        <v>-25.166</v>
      </c>
      <c r="AM36">
        <v>378.30900000000003</v>
      </c>
      <c r="AN36">
        <v>378.30900000000003</v>
      </c>
      <c r="AO36">
        <v>0</v>
      </c>
      <c r="AP36">
        <v>378.30900000000003</v>
      </c>
      <c r="AQ36">
        <v>378.30900000000003</v>
      </c>
      <c r="AR36">
        <v>2556.7020000000002</v>
      </c>
      <c r="AS36">
        <v>2594.1179999999999</v>
      </c>
      <c r="AT36">
        <v>61.048999999999999</v>
      </c>
      <c r="AU36">
        <v>2377.9409999999998</v>
      </c>
      <c r="AV36">
        <v>2648.1619999999998</v>
      </c>
      <c r="AW36">
        <v>3513.4549999999999</v>
      </c>
      <c r="AX36">
        <v>3512.8679999999999</v>
      </c>
      <c r="AY36">
        <v>209.578</v>
      </c>
      <c r="AZ36">
        <v>3080.5149999999999</v>
      </c>
      <c r="BA36">
        <v>4161.3969999999999</v>
      </c>
      <c r="BB36">
        <v>3.444</v>
      </c>
      <c r="BC36">
        <v>227.102</v>
      </c>
      <c r="BD36">
        <v>225.49299999999999</v>
      </c>
      <c r="BE36">
        <v>6.8819999999999997</v>
      </c>
      <c r="BF36">
        <v>222.40600000000001</v>
      </c>
      <c r="BG36">
        <v>0.5968911917098445</v>
      </c>
      <c r="BH36">
        <v>286.36399999999998</v>
      </c>
      <c r="BI36">
        <v>0</v>
      </c>
      <c r="BJ36">
        <v>0.33600000000000002</v>
      </c>
      <c r="BK36">
        <v>-28.452000000000002</v>
      </c>
      <c r="BL36">
        <v>400.2</v>
      </c>
      <c r="BM36">
        <v>384.43299999999999</v>
      </c>
      <c r="BN36">
        <v>28.183</v>
      </c>
      <c r="BO36">
        <v>329.51400000000001</v>
      </c>
      <c r="BP36">
        <v>494.27100000000002</v>
      </c>
      <c r="BQ36">
        <v>1018.148</v>
      </c>
      <c r="BR36">
        <v>988.54300000000001</v>
      </c>
      <c r="BS36">
        <v>105.40300000000001</v>
      </c>
      <c r="BT36">
        <v>933.62400000000002</v>
      </c>
      <c r="BU36">
        <v>1537.7329999999999</v>
      </c>
      <c r="BV36">
        <v>3973.0010000000002</v>
      </c>
      <c r="BW36">
        <v>4064.01</v>
      </c>
      <c r="BX36">
        <v>348.94099999999997</v>
      </c>
      <c r="BY36">
        <v>3075.4670000000001</v>
      </c>
      <c r="BZ36">
        <v>4558.2809999999999</v>
      </c>
      <c r="CA36">
        <v>3.86</v>
      </c>
      <c r="CB36">
        <v>8</v>
      </c>
      <c r="CC36">
        <v>2</v>
      </c>
      <c r="CD36">
        <v>1</v>
      </c>
      <c r="CE36">
        <v>3</v>
      </c>
      <c r="CF36">
        <v>5</v>
      </c>
    </row>
    <row r="37" spans="1:84" x14ac:dyDescent="0.35">
      <c r="A37" t="s">
        <v>449</v>
      </c>
      <c r="B37" t="str">
        <f t="shared" si="2"/>
        <v xml:space="preserve"> ch_ar_1987_08_23_929</v>
      </c>
      <c r="C37" s="1">
        <f t="shared" si="3"/>
        <v>45762</v>
      </c>
      <c r="D37" t="s">
        <v>78</v>
      </c>
      <c r="E37">
        <v>155.09100000000001</v>
      </c>
      <c r="F37">
        <v>155.595</v>
      </c>
      <c r="G37">
        <v>2.6640000000000001</v>
      </c>
      <c r="H37">
        <v>148.12899999999999</v>
      </c>
      <c r="I37">
        <v>0</v>
      </c>
      <c r="J37">
        <v>162.303</v>
      </c>
      <c r="K37">
        <v>0.93767123287671239</v>
      </c>
      <c r="L37">
        <v>0.7</v>
      </c>
      <c r="M37">
        <v>-23.21</v>
      </c>
      <c r="N37">
        <v>951.85</v>
      </c>
      <c r="O37">
        <v>986.20299999999997</v>
      </c>
      <c r="P37">
        <v>122.512</v>
      </c>
      <c r="Q37">
        <v>521.01300000000003</v>
      </c>
      <c r="R37">
        <v>1042.0250000000001</v>
      </c>
      <c r="S37">
        <v>1085.56</v>
      </c>
      <c r="T37">
        <v>1079.241</v>
      </c>
      <c r="U37">
        <v>55.935000000000002</v>
      </c>
      <c r="V37">
        <v>1004.81</v>
      </c>
      <c r="W37">
        <v>1339.7470000000001</v>
      </c>
      <c r="X37">
        <v>2447.0740000000001</v>
      </c>
      <c r="Y37">
        <v>2418.9870000000001</v>
      </c>
      <c r="Z37">
        <v>174.54</v>
      </c>
      <c r="AA37">
        <v>2084.0509999999999</v>
      </c>
      <c r="AB37">
        <v>3014.43</v>
      </c>
      <c r="AC37">
        <v>1.46</v>
      </c>
      <c r="AD37">
        <v>153.977</v>
      </c>
      <c r="AE37">
        <v>154.35</v>
      </c>
      <c r="AF37">
        <v>2.3260000000000001</v>
      </c>
      <c r="AG37">
        <v>148.98599999999999</v>
      </c>
      <c r="AH37">
        <v>0.9789855072463769</v>
      </c>
      <c r="AI37">
        <v>157.179</v>
      </c>
      <c r="AJ37">
        <v>0.75797101449275373</v>
      </c>
      <c r="AK37">
        <v>0.432</v>
      </c>
      <c r="AL37">
        <v>-29.431999999999999</v>
      </c>
      <c r="AM37">
        <v>392.88400000000001</v>
      </c>
      <c r="AN37">
        <v>404.58699999999999</v>
      </c>
      <c r="AO37">
        <v>23.773</v>
      </c>
      <c r="AP37">
        <v>367.80700000000002</v>
      </c>
      <c r="AQ37">
        <v>441.36799999999999</v>
      </c>
      <c r="AR37">
        <v>1157.855</v>
      </c>
      <c r="AS37">
        <v>1140.2</v>
      </c>
      <c r="AT37">
        <v>68.909000000000006</v>
      </c>
      <c r="AU37">
        <v>1066.6389999999999</v>
      </c>
      <c r="AV37">
        <v>1324.1030000000001</v>
      </c>
      <c r="AW37">
        <v>3191.0889999999999</v>
      </c>
      <c r="AX37">
        <v>3218.3069999999998</v>
      </c>
      <c r="AY37">
        <v>204.25399999999999</v>
      </c>
      <c r="AZ37">
        <v>2832.11</v>
      </c>
      <c r="BA37">
        <v>3641.2840000000001</v>
      </c>
      <c r="BB37">
        <v>1.38</v>
      </c>
      <c r="BC37">
        <v>158.10900000000001</v>
      </c>
      <c r="BD37">
        <v>159.32900000000001</v>
      </c>
      <c r="BE37">
        <v>4.819</v>
      </c>
      <c r="BF37">
        <v>137.44399999999999</v>
      </c>
      <c r="BG37">
        <v>0.98</v>
      </c>
      <c r="BH37">
        <v>163.85400000000001</v>
      </c>
      <c r="BI37">
        <v>4.1538461538461538E-2</v>
      </c>
      <c r="BJ37">
        <v>0.6</v>
      </c>
      <c r="BK37">
        <v>-29.594000000000001</v>
      </c>
      <c r="BL37">
        <v>469.18200000000002</v>
      </c>
      <c r="BM37">
        <v>470.75099999999998</v>
      </c>
      <c r="BN37">
        <v>35.564999999999998</v>
      </c>
      <c r="BO37">
        <v>376.601</v>
      </c>
      <c r="BP37">
        <v>527.24199999999996</v>
      </c>
      <c r="BQ37">
        <v>1016.823</v>
      </c>
      <c r="BR37">
        <v>1016.823</v>
      </c>
      <c r="BS37">
        <v>37.659999999999997</v>
      </c>
      <c r="BT37">
        <v>979.16300000000001</v>
      </c>
      <c r="BU37">
        <v>1054.4829999999999</v>
      </c>
      <c r="BV37">
        <v>2443.9850000000001</v>
      </c>
      <c r="BW37">
        <v>2447.9079999999999</v>
      </c>
      <c r="BX37">
        <v>119.91</v>
      </c>
      <c r="BY37">
        <v>2221.9470000000001</v>
      </c>
      <c r="BZ37">
        <v>2786.8490000000002</v>
      </c>
      <c r="CA37">
        <v>1.3</v>
      </c>
      <c r="CB37">
        <v>7</v>
      </c>
      <c r="CC37">
        <v>7</v>
      </c>
      <c r="CD37">
        <v>2</v>
      </c>
      <c r="CE37">
        <v>4</v>
      </c>
      <c r="CF37">
        <v>3</v>
      </c>
    </row>
    <row r="38" spans="1:84" x14ac:dyDescent="0.35">
      <c r="A38" t="s">
        <v>450</v>
      </c>
      <c r="B38" t="str">
        <f t="shared" si="2"/>
        <v xml:space="preserve"> ch_ar_2000_08_08_388</v>
      </c>
      <c r="C38" s="1">
        <f t="shared" si="3"/>
        <v>45762</v>
      </c>
      <c r="D38" t="s">
        <v>78</v>
      </c>
      <c r="E38">
        <v>201.11600000000001</v>
      </c>
      <c r="F38">
        <v>200.78100000000001</v>
      </c>
      <c r="G38">
        <v>3.3620000000000001</v>
      </c>
      <c r="H38">
        <v>194.273</v>
      </c>
      <c r="I38">
        <v>9.1262135922330095E-2</v>
      </c>
      <c r="J38">
        <v>213.191</v>
      </c>
      <c r="K38">
        <v>0.96407766990291255</v>
      </c>
      <c r="L38">
        <v>0.47799999999999998</v>
      </c>
      <c r="M38">
        <v>-27.183</v>
      </c>
      <c r="N38">
        <v>474.15100000000001</v>
      </c>
      <c r="O38">
        <v>483.02300000000002</v>
      </c>
      <c r="P38">
        <v>46.706000000000003</v>
      </c>
      <c r="Q38">
        <v>338.11599999999999</v>
      </c>
      <c r="R38">
        <v>676.23199999999997</v>
      </c>
      <c r="S38">
        <v>1166.4490000000001</v>
      </c>
      <c r="T38">
        <v>1159.2550000000001</v>
      </c>
      <c r="U38">
        <v>57.962000000000003</v>
      </c>
      <c r="V38">
        <v>1062.6510000000001</v>
      </c>
      <c r="W38">
        <v>1304.162</v>
      </c>
      <c r="X38">
        <v>2491.0189999999998</v>
      </c>
      <c r="Y38">
        <v>2463.4169999999999</v>
      </c>
      <c r="Z38">
        <v>135.02600000000001</v>
      </c>
      <c r="AA38">
        <v>2318.5100000000002</v>
      </c>
      <c r="AB38">
        <v>2994.7429999999999</v>
      </c>
      <c r="AC38">
        <v>2.06</v>
      </c>
      <c r="AD38">
        <v>201.24199999999999</v>
      </c>
      <c r="AE38">
        <v>200.846</v>
      </c>
      <c r="AF38">
        <v>2.3119999999999998</v>
      </c>
      <c r="AG38">
        <v>196.249</v>
      </c>
      <c r="AH38">
        <v>6.1904761904761907E-2</v>
      </c>
      <c r="AI38">
        <v>210.143</v>
      </c>
      <c r="AJ38">
        <v>0.99821428571428583</v>
      </c>
      <c r="AK38">
        <v>0.42599999999999999</v>
      </c>
      <c r="AL38">
        <v>-29.478999999999999</v>
      </c>
      <c r="AM38">
        <v>328.20800000000003</v>
      </c>
      <c r="AN38">
        <v>338.11599999999999</v>
      </c>
      <c r="AO38">
        <v>19.759</v>
      </c>
      <c r="AP38">
        <v>289.81400000000002</v>
      </c>
      <c r="AQ38">
        <v>338.11599999999999</v>
      </c>
      <c r="AR38">
        <v>1789.6310000000001</v>
      </c>
      <c r="AS38">
        <v>1787.1849999999999</v>
      </c>
      <c r="AT38">
        <v>94.697000000000003</v>
      </c>
      <c r="AU38">
        <v>1400.7670000000001</v>
      </c>
      <c r="AV38">
        <v>1980.394</v>
      </c>
      <c r="AW38">
        <v>3670.3710000000001</v>
      </c>
      <c r="AX38">
        <v>3695.1260000000002</v>
      </c>
      <c r="AY38">
        <v>212.63800000000001</v>
      </c>
      <c r="AZ38">
        <v>3236.2539999999999</v>
      </c>
      <c r="BA38">
        <v>4202.3</v>
      </c>
      <c r="BB38">
        <v>1.68</v>
      </c>
      <c r="BC38">
        <v>205.40199999999999</v>
      </c>
      <c r="BD38">
        <v>206.07499999999999</v>
      </c>
      <c r="BE38">
        <v>2.9209999999999998</v>
      </c>
      <c r="BF38">
        <v>189.73599999999999</v>
      </c>
      <c r="BG38">
        <v>0.99767441860465111</v>
      </c>
      <c r="BH38">
        <v>210</v>
      </c>
      <c r="BI38">
        <v>0.24011627906976743</v>
      </c>
      <c r="BJ38">
        <v>0.41299999999999998</v>
      </c>
      <c r="BK38">
        <v>-28.370999999999999</v>
      </c>
      <c r="BL38">
        <v>352.40800000000002</v>
      </c>
      <c r="BM38">
        <v>342.61900000000003</v>
      </c>
      <c r="BN38">
        <v>21.888999999999999</v>
      </c>
      <c r="BO38">
        <v>342.61900000000003</v>
      </c>
      <c r="BP38">
        <v>391.565</v>
      </c>
      <c r="BQ38">
        <v>1292.164</v>
      </c>
      <c r="BR38">
        <v>1272.586</v>
      </c>
      <c r="BS38">
        <v>112.36499999999999</v>
      </c>
      <c r="BT38">
        <v>1076.8040000000001</v>
      </c>
      <c r="BU38">
        <v>1566.26</v>
      </c>
      <c r="BV38">
        <v>3119.5459999999998</v>
      </c>
      <c r="BW38">
        <v>3132.5189999999998</v>
      </c>
      <c r="BX38">
        <v>128.83799999999999</v>
      </c>
      <c r="BY38">
        <v>2838.846</v>
      </c>
      <c r="BZ38">
        <v>3426.1930000000002</v>
      </c>
      <c r="CA38">
        <v>1.72</v>
      </c>
    </row>
    <row r="39" spans="1:84" x14ac:dyDescent="0.35">
      <c r="A39" t="s">
        <v>451</v>
      </c>
      <c r="B39" t="str">
        <f t="shared" si="2"/>
        <v xml:space="preserve"> ch_bi_2001_01_28_407</v>
      </c>
      <c r="C39" s="1">
        <f t="shared" si="3"/>
        <v>45762</v>
      </c>
      <c r="D39" t="s">
        <v>78</v>
      </c>
      <c r="E39">
        <v>212.279</v>
      </c>
      <c r="F39">
        <v>211.29400000000001</v>
      </c>
      <c r="G39">
        <v>4.6950000000000003</v>
      </c>
      <c r="H39">
        <v>204.84399999999999</v>
      </c>
      <c r="I39">
        <v>0.98719999999999997</v>
      </c>
      <c r="J39">
        <v>250.16200000000001</v>
      </c>
      <c r="K39">
        <v>8.0000000000000002E-3</v>
      </c>
      <c r="L39">
        <v>0.55000000000000004</v>
      </c>
      <c r="M39">
        <v>-21.154</v>
      </c>
      <c r="N39">
        <v>814.423</v>
      </c>
      <c r="O39">
        <v>823.33699999999999</v>
      </c>
      <c r="P39">
        <v>98.769000000000005</v>
      </c>
      <c r="Q39">
        <v>411.66899999999998</v>
      </c>
      <c r="R39">
        <v>1080.6300000000001</v>
      </c>
      <c r="S39">
        <v>1112.6400000000001</v>
      </c>
      <c r="T39">
        <v>1132.0889999999999</v>
      </c>
      <c r="U39">
        <v>37.203000000000003</v>
      </c>
      <c r="V39">
        <v>1029.172</v>
      </c>
      <c r="W39">
        <v>1235.0060000000001</v>
      </c>
      <c r="X39">
        <v>2760.9349999999999</v>
      </c>
      <c r="Y39">
        <v>2778.7629999999999</v>
      </c>
      <c r="Z39">
        <v>174.971</v>
      </c>
      <c r="AA39">
        <v>2418.5529999999999</v>
      </c>
      <c r="AB39">
        <v>3190.4319999999998</v>
      </c>
      <c r="AC39">
        <v>2.5</v>
      </c>
      <c r="AD39">
        <v>216.49600000000001</v>
      </c>
      <c r="AE39">
        <v>215.57300000000001</v>
      </c>
      <c r="AF39">
        <v>4.1829999999999998</v>
      </c>
      <c r="AG39">
        <v>212.01900000000001</v>
      </c>
      <c r="AH39">
        <v>0.30459183673469387</v>
      </c>
      <c r="AI39">
        <v>243.071</v>
      </c>
      <c r="AJ39">
        <v>0</v>
      </c>
      <c r="AK39">
        <v>0.59199999999999997</v>
      </c>
      <c r="AL39">
        <v>-28.367999999999999</v>
      </c>
      <c r="AM39">
        <v>357.43200000000002</v>
      </c>
      <c r="AN39">
        <v>367.06299999999999</v>
      </c>
      <c r="AO39">
        <v>20.408999999999999</v>
      </c>
      <c r="AP39">
        <v>314.625</v>
      </c>
      <c r="AQ39">
        <v>367.06299999999999</v>
      </c>
      <c r="AR39">
        <v>2345.7069999999999</v>
      </c>
      <c r="AS39">
        <v>2359.6909999999998</v>
      </c>
      <c r="AT39">
        <v>117.467</v>
      </c>
      <c r="AU39">
        <v>1887.7529999999999</v>
      </c>
      <c r="AV39">
        <v>2464.5659999999998</v>
      </c>
      <c r="AW39">
        <v>3595.8679999999999</v>
      </c>
      <c r="AX39">
        <v>3618.1930000000002</v>
      </c>
      <c r="AY39">
        <v>171.583</v>
      </c>
      <c r="AZ39">
        <v>3093.817</v>
      </c>
      <c r="BA39">
        <v>3932.8180000000002</v>
      </c>
      <c r="BB39">
        <v>1.96</v>
      </c>
      <c r="BC39">
        <v>219.64500000000001</v>
      </c>
      <c r="BD39">
        <v>218.93600000000001</v>
      </c>
      <c r="BE39">
        <v>4.8170000000000002</v>
      </c>
      <c r="BF39">
        <v>214.226</v>
      </c>
      <c r="BG39">
        <v>0.10053191489361703</v>
      </c>
      <c r="BH39">
        <v>254.91300000000001</v>
      </c>
      <c r="BI39">
        <v>0</v>
      </c>
      <c r="BJ39">
        <v>0.45500000000000002</v>
      </c>
      <c r="BK39">
        <v>-30.157</v>
      </c>
      <c r="BL39">
        <v>378.04300000000001</v>
      </c>
      <c r="BM39">
        <v>373.72899999999998</v>
      </c>
      <c r="BN39">
        <v>16.494</v>
      </c>
      <c r="BO39">
        <v>320.339</v>
      </c>
      <c r="BP39">
        <v>427.11900000000003</v>
      </c>
      <c r="BQ39">
        <v>1089.7809999999999</v>
      </c>
      <c r="BR39">
        <v>1121.1859999999999</v>
      </c>
      <c r="BS39">
        <v>73.25</v>
      </c>
      <c r="BT39">
        <v>907.62699999999995</v>
      </c>
      <c r="BU39">
        <v>1174.576</v>
      </c>
      <c r="BV39">
        <v>3691.9879999999998</v>
      </c>
      <c r="BW39">
        <v>3683.8980000000001</v>
      </c>
      <c r="BX39">
        <v>156.934</v>
      </c>
      <c r="BY39">
        <v>3150</v>
      </c>
      <c r="BZ39">
        <v>4004.2370000000001</v>
      </c>
      <c r="CA39">
        <v>1.88</v>
      </c>
    </row>
    <row r="40" spans="1:84" x14ac:dyDescent="0.35">
      <c r="A40" t="s">
        <v>452</v>
      </c>
      <c r="B40" t="str">
        <f t="shared" si="2"/>
        <v xml:space="preserve"> ch_bl_2001_09_25_360</v>
      </c>
      <c r="C40" s="1">
        <f t="shared" si="3"/>
        <v>45762</v>
      </c>
      <c r="D40" t="s">
        <v>78</v>
      </c>
      <c r="E40">
        <v>195.83099999999999</v>
      </c>
      <c r="F40">
        <v>195.071</v>
      </c>
      <c r="G40">
        <v>7.4560000000000004</v>
      </c>
      <c r="H40">
        <v>182.77099999999999</v>
      </c>
      <c r="I40">
        <v>8.9252336448598132E-2</v>
      </c>
      <c r="J40">
        <v>223.37200000000001</v>
      </c>
      <c r="K40">
        <v>0</v>
      </c>
      <c r="L40">
        <v>1.177</v>
      </c>
      <c r="M40">
        <v>-29.25</v>
      </c>
      <c r="N40">
        <v>421.75599999999997</v>
      </c>
      <c r="O40">
        <v>379.76299999999998</v>
      </c>
      <c r="P40">
        <v>132.82900000000001</v>
      </c>
      <c r="Q40">
        <v>284.822</v>
      </c>
      <c r="R40">
        <v>1044.3489999999999</v>
      </c>
      <c r="S40">
        <v>1350.5329999999999</v>
      </c>
      <c r="T40">
        <v>1352.9059999999999</v>
      </c>
      <c r="U40">
        <v>79.94</v>
      </c>
      <c r="V40">
        <v>1139.29</v>
      </c>
      <c r="W40">
        <v>1566.5229999999999</v>
      </c>
      <c r="X40">
        <v>3120.7040000000002</v>
      </c>
      <c r="Y40">
        <v>3133.0459999999998</v>
      </c>
      <c r="Z40">
        <v>160.46600000000001</v>
      </c>
      <c r="AA40">
        <v>2420.9899999999998</v>
      </c>
      <c r="AB40">
        <v>3750.1610000000001</v>
      </c>
      <c r="AC40">
        <v>2.14</v>
      </c>
      <c r="AD40">
        <v>189.05099999999999</v>
      </c>
      <c r="AE40">
        <v>187.43199999999999</v>
      </c>
      <c r="AF40">
        <v>11.128</v>
      </c>
      <c r="AG40">
        <v>184.07900000000001</v>
      </c>
      <c r="AH40">
        <v>0.1330275229357798</v>
      </c>
      <c r="AI40">
        <v>273.91300000000001</v>
      </c>
      <c r="AJ40">
        <v>0</v>
      </c>
      <c r="AK40">
        <v>0.86299999999999999</v>
      </c>
      <c r="AL40">
        <v>-28.247</v>
      </c>
      <c r="AM40">
        <v>364.26900000000001</v>
      </c>
      <c r="AN40">
        <v>361.846</v>
      </c>
      <c r="AO40">
        <v>10.276999999999999</v>
      </c>
      <c r="AP40">
        <v>361.846</v>
      </c>
      <c r="AQ40">
        <v>407.077</v>
      </c>
      <c r="AR40">
        <v>1792.7829999999999</v>
      </c>
      <c r="AS40">
        <v>1764</v>
      </c>
      <c r="AT40">
        <v>284.827</v>
      </c>
      <c r="AU40">
        <v>1492.615</v>
      </c>
      <c r="AV40">
        <v>2352</v>
      </c>
      <c r="AW40">
        <v>3767.21</v>
      </c>
      <c r="AX40">
        <v>3754.154</v>
      </c>
      <c r="AY40">
        <v>208.499</v>
      </c>
      <c r="AZ40">
        <v>3030.462</v>
      </c>
      <c r="BA40">
        <v>4342.1540000000005</v>
      </c>
      <c r="BB40">
        <v>2.1800000000000002</v>
      </c>
      <c r="BC40">
        <v>187.279</v>
      </c>
      <c r="BD40">
        <v>186.63800000000001</v>
      </c>
      <c r="BE40">
        <v>3.8719999999999999</v>
      </c>
      <c r="BF40">
        <v>184.07900000000001</v>
      </c>
      <c r="BG40">
        <v>0.41271186440677965</v>
      </c>
      <c r="BH40">
        <v>218.00800000000001</v>
      </c>
      <c r="BI40">
        <v>8.4745762711864406E-3</v>
      </c>
      <c r="BJ40">
        <v>0.51</v>
      </c>
      <c r="BK40">
        <v>-29.596</v>
      </c>
      <c r="BL40">
        <v>355.64499999999998</v>
      </c>
      <c r="BM40">
        <v>355.64499999999998</v>
      </c>
      <c r="BN40">
        <v>10.627000000000001</v>
      </c>
      <c r="BO40">
        <v>311.19</v>
      </c>
      <c r="BP40">
        <v>400.101</v>
      </c>
      <c r="BQ40">
        <v>1096.76</v>
      </c>
      <c r="BR40">
        <v>1066.9349999999999</v>
      </c>
      <c r="BS40">
        <v>78.213999999999999</v>
      </c>
      <c r="BT40">
        <v>1022.48</v>
      </c>
      <c r="BU40">
        <v>1378.125</v>
      </c>
      <c r="BV40">
        <v>3088.8119999999999</v>
      </c>
      <c r="BW40">
        <v>3067.44</v>
      </c>
      <c r="BX40">
        <v>133.58000000000001</v>
      </c>
      <c r="BY40">
        <v>2845.1610000000001</v>
      </c>
      <c r="BZ40">
        <v>3423.085</v>
      </c>
      <c r="CA40">
        <v>2.36</v>
      </c>
      <c r="CB40">
        <v>4</v>
      </c>
      <c r="CC40">
        <v>4</v>
      </c>
      <c r="CD40">
        <v>1</v>
      </c>
      <c r="CE40">
        <v>5</v>
      </c>
      <c r="CF40">
        <v>3</v>
      </c>
    </row>
    <row r="41" spans="1:84" x14ac:dyDescent="0.35">
      <c r="A41" t="s">
        <v>453</v>
      </c>
      <c r="B41" t="str">
        <f t="shared" si="2"/>
        <v xml:space="preserve"> ch_ch_1999_10_05_790</v>
      </c>
      <c r="C41" s="1">
        <f t="shared" si="3"/>
        <v>45762</v>
      </c>
      <c r="D41" t="s">
        <v>78</v>
      </c>
      <c r="E41">
        <v>209.5</v>
      </c>
      <c r="F41">
        <v>209.28800000000001</v>
      </c>
      <c r="G41">
        <v>3.177</v>
      </c>
      <c r="H41">
        <v>202.69200000000001</v>
      </c>
      <c r="I41">
        <v>0.89999999999999991</v>
      </c>
      <c r="J41">
        <v>228.83600000000001</v>
      </c>
      <c r="K41">
        <v>0</v>
      </c>
      <c r="L41">
        <v>0.435</v>
      </c>
      <c r="M41">
        <v>-21.436</v>
      </c>
      <c r="N41">
        <v>886.28499999999997</v>
      </c>
      <c r="O41">
        <v>912.41399999999999</v>
      </c>
      <c r="P41">
        <v>101.93300000000001</v>
      </c>
      <c r="Q41">
        <v>304.13799999999998</v>
      </c>
      <c r="R41">
        <v>1216.5519999999999</v>
      </c>
      <c r="S41">
        <v>1077.808</v>
      </c>
      <c r="T41">
        <v>1064.4829999999999</v>
      </c>
      <c r="U41">
        <v>48.073999999999998</v>
      </c>
      <c r="V41">
        <v>1013.793</v>
      </c>
      <c r="W41">
        <v>1520.69</v>
      </c>
      <c r="X41">
        <v>2892.4140000000002</v>
      </c>
      <c r="Y41">
        <v>2889.31</v>
      </c>
      <c r="Z41">
        <v>85.382000000000005</v>
      </c>
      <c r="AA41">
        <v>2635.8620000000001</v>
      </c>
      <c r="AB41">
        <v>3497.5859999999998</v>
      </c>
      <c r="AC41">
        <v>3.9</v>
      </c>
      <c r="AD41">
        <v>209.11099999999999</v>
      </c>
      <c r="AE41">
        <v>208.3</v>
      </c>
      <c r="AF41">
        <v>4.391</v>
      </c>
      <c r="AG41">
        <v>203.09200000000001</v>
      </c>
      <c r="AH41">
        <v>0.88542713567839193</v>
      </c>
      <c r="AI41">
        <v>245.39</v>
      </c>
      <c r="AJ41">
        <v>0</v>
      </c>
      <c r="AK41">
        <v>0.51400000000000001</v>
      </c>
      <c r="AL41">
        <v>-31.966999999999999</v>
      </c>
      <c r="AM41">
        <v>352.423</v>
      </c>
      <c r="AN41">
        <v>353.20400000000001</v>
      </c>
      <c r="AO41">
        <v>12.021000000000001</v>
      </c>
      <c r="AP41">
        <v>252.28800000000001</v>
      </c>
      <c r="AQ41">
        <v>403.661</v>
      </c>
      <c r="AR41">
        <v>2519.491</v>
      </c>
      <c r="AS41">
        <v>2522.8829999999998</v>
      </c>
      <c r="AT41">
        <v>94.45</v>
      </c>
      <c r="AU41">
        <v>2220.1370000000002</v>
      </c>
      <c r="AV41">
        <v>2674.2559999999999</v>
      </c>
      <c r="AW41">
        <v>3394.1019999999999</v>
      </c>
      <c r="AX41">
        <v>3431.1210000000001</v>
      </c>
      <c r="AY41">
        <v>163.89</v>
      </c>
      <c r="AZ41">
        <v>2825.6289999999999</v>
      </c>
      <c r="BA41">
        <v>3834.7829999999999</v>
      </c>
      <c r="BB41">
        <v>3.98</v>
      </c>
      <c r="BC41">
        <v>214.709</v>
      </c>
      <c r="BD41">
        <v>212.31100000000001</v>
      </c>
      <c r="BE41">
        <v>13.673</v>
      </c>
      <c r="BF41">
        <v>207.18100000000001</v>
      </c>
      <c r="BG41">
        <v>0.85052083333333339</v>
      </c>
      <c r="BH41">
        <v>336.64100000000002</v>
      </c>
      <c r="BI41">
        <v>0</v>
      </c>
      <c r="BJ41">
        <v>0.60399999999999998</v>
      </c>
      <c r="BK41">
        <v>-30.850999999999999</v>
      </c>
      <c r="BL41">
        <v>362.71300000000002</v>
      </c>
      <c r="BM41">
        <v>364.03300000000002</v>
      </c>
      <c r="BN41">
        <v>13.327999999999999</v>
      </c>
      <c r="BO41">
        <v>312.02800000000002</v>
      </c>
      <c r="BP41">
        <v>468.04199999999997</v>
      </c>
      <c r="BQ41">
        <v>1131.1030000000001</v>
      </c>
      <c r="BR41">
        <v>1040.0940000000001</v>
      </c>
      <c r="BS41">
        <v>222.16399999999999</v>
      </c>
      <c r="BT41">
        <v>988.09</v>
      </c>
      <c r="BU41">
        <v>1456.1320000000001</v>
      </c>
      <c r="BV41">
        <v>3347.2130000000002</v>
      </c>
      <c r="BW41">
        <v>3328.3020000000001</v>
      </c>
      <c r="BX41">
        <v>154.28100000000001</v>
      </c>
      <c r="BY41">
        <v>2964.2689999999998</v>
      </c>
      <c r="BZ41">
        <v>3796.3440000000001</v>
      </c>
      <c r="CA41">
        <v>3.84</v>
      </c>
      <c r="CB41">
        <v>4</v>
      </c>
      <c r="CC41">
        <v>1</v>
      </c>
      <c r="CD41">
        <v>1</v>
      </c>
      <c r="CE41">
        <v>1</v>
      </c>
      <c r="CF41">
        <v>0</v>
      </c>
    </row>
    <row r="42" spans="1:84" x14ac:dyDescent="0.35">
      <c r="A42" t="s">
        <v>454</v>
      </c>
      <c r="B42" t="str">
        <f t="shared" si="2"/>
        <v xml:space="preserve"> ch_fa_1992_09_30_085</v>
      </c>
      <c r="C42" s="1">
        <f t="shared" si="3"/>
        <v>45762</v>
      </c>
      <c r="D42" t="s">
        <v>78</v>
      </c>
      <c r="E42">
        <v>155.714</v>
      </c>
      <c r="F42">
        <v>154.81399999999999</v>
      </c>
      <c r="G42">
        <v>4.8150000000000004</v>
      </c>
      <c r="H42">
        <v>143.18199999999999</v>
      </c>
      <c r="I42">
        <v>0.98620689655172411</v>
      </c>
      <c r="J42">
        <v>188.577</v>
      </c>
      <c r="K42">
        <v>0</v>
      </c>
      <c r="L42">
        <v>0.71399999999999997</v>
      </c>
      <c r="M42">
        <v>-27.074000000000002</v>
      </c>
      <c r="N42">
        <v>598.70299999999997</v>
      </c>
      <c r="O42">
        <v>596.95399999999995</v>
      </c>
      <c r="P42">
        <v>57.734999999999999</v>
      </c>
      <c r="Q42">
        <v>522.33500000000004</v>
      </c>
      <c r="R42">
        <v>895.43100000000004</v>
      </c>
      <c r="S42">
        <v>1190.9939999999999</v>
      </c>
      <c r="T42">
        <v>1193.9090000000001</v>
      </c>
      <c r="U42">
        <v>62.113</v>
      </c>
      <c r="V42">
        <v>1081.98</v>
      </c>
      <c r="W42">
        <v>1380.4570000000001</v>
      </c>
      <c r="X42">
        <v>2411.136</v>
      </c>
      <c r="Y42">
        <v>2406.4720000000002</v>
      </c>
      <c r="Z42">
        <v>167.84399999999999</v>
      </c>
      <c r="AA42">
        <v>2089.34</v>
      </c>
      <c r="AB42">
        <v>2872.8429999999998</v>
      </c>
      <c r="AC42">
        <v>1.74</v>
      </c>
      <c r="AD42">
        <v>158.23500000000001</v>
      </c>
      <c r="AE42">
        <v>157.863</v>
      </c>
      <c r="AF42">
        <v>1.655</v>
      </c>
      <c r="AG42">
        <v>155.83000000000001</v>
      </c>
      <c r="AH42">
        <v>0.20041666666666666</v>
      </c>
      <c r="AI42">
        <v>167.499</v>
      </c>
      <c r="AJ42">
        <v>0.99</v>
      </c>
      <c r="AK42">
        <v>0.41299999999999998</v>
      </c>
      <c r="AL42">
        <v>-28.317</v>
      </c>
      <c r="AR42">
        <v>1492.3109999999999</v>
      </c>
      <c r="AS42">
        <v>1496.521</v>
      </c>
      <c r="AT42">
        <v>68.650000000000006</v>
      </c>
      <c r="AU42">
        <v>1326.0309999999999</v>
      </c>
      <c r="AV42">
        <v>1629.124</v>
      </c>
      <c r="AW42">
        <v>4045.4470000000001</v>
      </c>
      <c r="AX42">
        <v>4072.8090000000002</v>
      </c>
      <c r="AY42">
        <v>267.041</v>
      </c>
      <c r="AZ42">
        <v>3182.4740000000002</v>
      </c>
      <c r="BA42">
        <v>4546.3919999999998</v>
      </c>
      <c r="BB42">
        <v>2.4</v>
      </c>
      <c r="BC42">
        <v>158.90100000000001</v>
      </c>
      <c r="BD42">
        <v>158.55199999999999</v>
      </c>
      <c r="BE42">
        <v>1.7609999999999999</v>
      </c>
      <c r="BF42">
        <v>156.542</v>
      </c>
      <c r="BG42">
        <v>0.97549019607843135</v>
      </c>
      <c r="BH42">
        <v>167.95400000000001</v>
      </c>
      <c r="BI42">
        <v>0.9882352941176471</v>
      </c>
      <c r="BJ42">
        <v>0.45700000000000002</v>
      </c>
      <c r="BK42">
        <v>-26.329000000000001</v>
      </c>
      <c r="BL42">
        <v>425.45499999999998</v>
      </c>
      <c r="BM42">
        <v>420</v>
      </c>
      <c r="BN42">
        <v>47.460999999999999</v>
      </c>
      <c r="BO42">
        <v>305.45499999999998</v>
      </c>
      <c r="BP42">
        <v>649.09100000000001</v>
      </c>
      <c r="BQ42">
        <v>1021.866</v>
      </c>
      <c r="BR42">
        <v>1030.9090000000001</v>
      </c>
      <c r="BS42">
        <v>44.030999999999999</v>
      </c>
      <c r="BT42">
        <v>992.72699999999998</v>
      </c>
      <c r="BU42">
        <v>1260</v>
      </c>
      <c r="BV42">
        <v>3187.9340000000002</v>
      </c>
      <c r="BW42">
        <v>3169.0909999999999</v>
      </c>
      <c r="BX42">
        <v>129.721</v>
      </c>
      <c r="BY42">
        <v>2863.636</v>
      </c>
      <c r="BZ42">
        <v>3589.0909999999999</v>
      </c>
      <c r="CA42">
        <v>2.04</v>
      </c>
      <c r="CB42">
        <v>7</v>
      </c>
      <c r="CC42">
        <v>3</v>
      </c>
      <c r="CD42">
        <v>1</v>
      </c>
      <c r="CE42">
        <v>2</v>
      </c>
      <c r="CF42">
        <v>2</v>
      </c>
    </row>
    <row r="43" spans="1:84" x14ac:dyDescent="0.35">
      <c r="A43" t="s">
        <v>455</v>
      </c>
      <c r="B43" t="str">
        <f t="shared" si="2"/>
        <v xml:space="preserve"> ch_mo_2005_07_21_173</v>
      </c>
      <c r="C43" s="1">
        <f t="shared" si="3"/>
        <v>45762</v>
      </c>
      <c r="D43" t="s">
        <v>78</v>
      </c>
      <c r="E43">
        <v>182.38</v>
      </c>
      <c r="F43">
        <v>182.017</v>
      </c>
      <c r="G43">
        <v>2.1120000000000001</v>
      </c>
      <c r="H43">
        <v>178.54300000000001</v>
      </c>
      <c r="I43">
        <v>0</v>
      </c>
      <c r="J43">
        <v>192.09700000000001</v>
      </c>
      <c r="K43">
        <v>7.0552147239263804E-3</v>
      </c>
      <c r="L43">
        <v>0.41799999999999998</v>
      </c>
      <c r="M43">
        <v>-19.355</v>
      </c>
      <c r="N43">
        <v>693.31</v>
      </c>
      <c r="O43">
        <v>695.17200000000003</v>
      </c>
      <c r="P43">
        <v>59.393000000000001</v>
      </c>
      <c r="Q43">
        <v>564.82799999999997</v>
      </c>
      <c r="R43">
        <v>912.41399999999999</v>
      </c>
      <c r="S43">
        <v>1107.1690000000001</v>
      </c>
      <c r="T43">
        <v>1086.2070000000001</v>
      </c>
      <c r="U43">
        <v>42.957999999999998</v>
      </c>
      <c r="V43">
        <v>1042.759</v>
      </c>
      <c r="W43">
        <v>1390.345</v>
      </c>
      <c r="X43">
        <v>3514.9659999999999</v>
      </c>
      <c r="Y43">
        <v>3519.31</v>
      </c>
      <c r="Z43">
        <v>273.27</v>
      </c>
      <c r="AA43">
        <v>2780.69</v>
      </c>
      <c r="AB43">
        <v>3997.241</v>
      </c>
      <c r="AC43">
        <v>3.26</v>
      </c>
      <c r="AD43">
        <v>187.71799999999999</v>
      </c>
      <c r="AE43">
        <v>184.62899999999999</v>
      </c>
      <c r="AF43">
        <v>19.957999999999998</v>
      </c>
      <c r="AG43">
        <v>178.43899999999999</v>
      </c>
      <c r="AH43">
        <v>0.66056338028169015</v>
      </c>
      <c r="AI43">
        <v>312.76600000000002</v>
      </c>
      <c r="AJ43">
        <v>0</v>
      </c>
      <c r="AK43">
        <v>0.70399999999999996</v>
      </c>
      <c r="AL43">
        <v>-27.989000000000001</v>
      </c>
      <c r="AM43">
        <v>352.44799999999998</v>
      </c>
      <c r="AN43">
        <v>352.44799999999998</v>
      </c>
      <c r="AO43">
        <v>0</v>
      </c>
      <c r="AP43">
        <v>352.44799999999998</v>
      </c>
      <c r="AQ43">
        <v>352.44799999999998</v>
      </c>
      <c r="AW43">
        <v>3510.2640000000001</v>
      </c>
      <c r="AX43">
        <v>3480.42</v>
      </c>
      <c r="AY43">
        <v>105.631</v>
      </c>
      <c r="AZ43">
        <v>3304.1959999999999</v>
      </c>
      <c r="BA43">
        <v>3788.8110000000001</v>
      </c>
      <c r="BB43">
        <v>2.84</v>
      </c>
      <c r="BC43">
        <v>187.143</v>
      </c>
      <c r="BD43">
        <v>186.864</v>
      </c>
      <c r="BE43">
        <v>1.5169999999999999</v>
      </c>
      <c r="BF43">
        <v>182.77099999999999</v>
      </c>
      <c r="BG43">
        <v>0.98993902439024395</v>
      </c>
      <c r="BH43">
        <v>191.38300000000001</v>
      </c>
      <c r="BI43">
        <v>0.96890243902439033</v>
      </c>
      <c r="BJ43">
        <v>0.32400000000000001</v>
      </c>
      <c r="BK43">
        <v>-29.175000000000001</v>
      </c>
      <c r="BL43">
        <v>386.95299999999997</v>
      </c>
      <c r="BM43">
        <v>396.50299999999999</v>
      </c>
      <c r="BN43">
        <v>18.952999999999999</v>
      </c>
      <c r="BO43">
        <v>352.44799999999998</v>
      </c>
      <c r="BP43">
        <v>440.55900000000003</v>
      </c>
      <c r="BQ43">
        <v>969.971</v>
      </c>
      <c r="BR43">
        <v>969.23099999999999</v>
      </c>
      <c r="BS43">
        <v>8077</v>
      </c>
      <c r="BT43">
        <v>925.17499999999995</v>
      </c>
      <c r="BU43">
        <v>1013.287</v>
      </c>
      <c r="BV43">
        <v>3204.069</v>
      </c>
      <c r="BW43">
        <v>3216.0839999999998</v>
      </c>
      <c r="BX43">
        <v>134.44200000000001</v>
      </c>
      <c r="BY43">
        <v>2907.692</v>
      </c>
      <c r="BZ43">
        <v>3656.643</v>
      </c>
      <c r="CA43">
        <v>3.28</v>
      </c>
      <c r="CB43">
        <v>8</v>
      </c>
      <c r="CC43">
        <v>4</v>
      </c>
      <c r="CD43">
        <v>0</v>
      </c>
      <c r="CE43">
        <v>2</v>
      </c>
      <c r="CF43">
        <v>4</v>
      </c>
    </row>
    <row r="44" spans="1:84" x14ac:dyDescent="0.35">
      <c r="A44" t="s">
        <v>456</v>
      </c>
      <c r="B44" t="str">
        <f t="shared" si="2"/>
        <v xml:space="preserve"> ch_pr_2005_04_08_406</v>
      </c>
      <c r="C44" s="1">
        <f t="shared" si="3"/>
        <v>45762</v>
      </c>
      <c r="D44" t="s">
        <v>78</v>
      </c>
      <c r="E44">
        <v>202.92500000000001</v>
      </c>
      <c r="F44">
        <v>202.892</v>
      </c>
      <c r="G44">
        <v>3.5169999999999999</v>
      </c>
      <c r="H44">
        <v>196.125</v>
      </c>
      <c r="I44">
        <v>1.3057324840764332E-2</v>
      </c>
      <c r="J44">
        <v>240.233</v>
      </c>
      <c r="K44">
        <v>0</v>
      </c>
      <c r="L44">
        <v>0.496</v>
      </c>
      <c r="M44">
        <v>-23.108000000000001</v>
      </c>
      <c r="N44">
        <v>915.52599999999995</v>
      </c>
      <c r="O44">
        <v>931</v>
      </c>
      <c r="P44">
        <v>64.893000000000001</v>
      </c>
      <c r="Q44">
        <v>539</v>
      </c>
      <c r="R44">
        <v>1029</v>
      </c>
      <c r="S44">
        <v>1100.566</v>
      </c>
      <c r="T44">
        <v>1078</v>
      </c>
      <c r="U44">
        <v>38.612000000000002</v>
      </c>
      <c r="V44">
        <v>1029</v>
      </c>
      <c r="W44">
        <v>1372</v>
      </c>
      <c r="X44">
        <v>3302.3420000000001</v>
      </c>
      <c r="Y44">
        <v>3283</v>
      </c>
      <c r="Z44">
        <v>172.54300000000001</v>
      </c>
      <c r="AA44">
        <v>2842</v>
      </c>
      <c r="AB44">
        <v>3871</v>
      </c>
      <c r="AC44">
        <v>3.14</v>
      </c>
      <c r="AD44">
        <v>163.97200000000001</v>
      </c>
      <c r="AE44">
        <v>200.715</v>
      </c>
      <c r="AF44">
        <v>50.293999999999997</v>
      </c>
      <c r="AG44">
        <v>99.42</v>
      </c>
      <c r="AH44">
        <v>0.62757575757575768</v>
      </c>
      <c r="AI44">
        <v>209.572</v>
      </c>
      <c r="AJ44">
        <v>0.91</v>
      </c>
      <c r="AK44">
        <v>6.444</v>
      </c>
      <c r="AL44">
        <v>-15.605</v>
      </c>
      <c r="AM44">
        <v>375.18299999999999</v>
      </c>
      <c r="AN44">
        <v>378.541</v>
      </c>
      <c r="AO44">
        <v>10.805999999999999</v>
      </c>
      <c r="AP44">
        <v>340.68700000000001</v>
      </c>
      <c r="AQ44">
        <v>378.541</v>
      </c>
      <c r="AR44">
        <v>2418.66</v>
      </c>
      <c r="AS44">
        <v>2422.6610000000001</v>
      </c>
      <c r="AT44">
        <v>42.478000000000002</v>
      </c>
      <c r="AU44">
        <v>2309.0990000000002</v>
      </c>
      <c r="AV44">
        <v>2498.3690000000001</v>
      </c>
      <c r="AW44">
        <v>2954.1439999999998</v>
      </c>
      <c r="AX44">
        <v>2952.6179999999999</v>
      </c>
      <c r="AY44">
        <v>139.43199999999999</v>
      </c>
      <c r="AZ44">
        <v>2687.6390000000001</v>
      </c>
      <c r="BA44">
        <v>3255.451</v>
      </c>
      <c r="BB44">
        <v>3.3</v>
      </c>
      <c r="BC44">
        <v>199.696</v>
      </c>
      <c r="BD44">
        <v>203.494</v>
      </c>
      <c r="BE44">
        <v>20.573</v>
      </c>
      <c r="BF44">
        <v>99.903000000000006</v>
      </c>
      <c r="BG44">
        <v>6.41025641025641E-3</v>
      </c>
      <c r="BH44">
        <v>208.863</v>
      </c>
      <c r="BI44">
        <v>0.22403846153846152</v>
      </c>
      <c r="BJ44">
        <v>3.714</v>
      </c>
      <c r="BK44">
        <v>-26.655000000000001</v>
      </c>
      <c r="BL44">
        <v>379.03199999999998</v>
      </c>
      <c r="BM44">
        <v>379.35500000000002</v>
      </c>
      <c r="BN44">
        <v>3911</v>
      </c>
      <c r="BO44">
        <v>331.935</v>
      </c>
      <c r="BP44">
        <v>379.35500000000002</v>
      </c>
      <c r="BQ44">
        <v>1038.752</v>
      </c>
      <c r="BR44">
        <v>1043.2260000000001</v>
      </c>
      <c r="BS44">
        <v>56.875999999999998</v>
      </c>
      <c r="BT44">
        <v>948.38699999999994</v>
      </c>
      <c r="BU44">
        <v>1232.903</v>
      </c>
      <c r="BV44">
        <v>3836.7739999999999</v>
      </c>
      <c r="BW44">
        <v>3840.9679999999998</v>
      </c>
      <c r="BX44">
        <v>170.42500000000001</v>
      </c>
      <c r="BY44">
        <v>3082.2579999999998</v>
      </c>
      <c r="BZ44">
        <v>4220.3230000000003</v>
      </c>
      <c r="CA44">
        <v>3.12</v>
      </c>
      <c r="CB44">
        <v>6</v>
      </c>
      <c r="CC44">
        <v>6</v>
      </c>
      <c r="CD44">
        <v>0</v>
      </c>
      <c r="CE44">
        <v>4</v>
      </c>
      <c r="CF44">
        <v>3</v>
      </c>
    </row>
    <row r="45" spans="1:84" x14ac:dyDescent="0.35">
      <c r="A45" t="s">
        <v>457</v>
      </c>
      <c r="B45" t="str">
        <f t="shared" si="2"/>
        <v xml:space="preserve"> ch_ta_2005_12_03_835</v>
      </c>
      <c r="C45" s="1">
        <f t="shared" si="3"/>
        <v>45762</v>
      </c>
      <c r="D45" t="s">
        <v>78</v>
      </c>
      <c r="E45">
        <v>189.059</v>
      </c>
      <c r="F45">
        <v>188.80699999999999</v>
      </c>
      <c r="G45">
        <v>2.7290000000000001</v>
      </c>
      <c r="H45">
        <v>175.89699999999999</v>
      </c>
      <c r="I45">
        <v>7.5187969924812026E-3</v>
      </c>
      <c r="J45">
        <v>205.11600000000001</v>
      </c>
      <c r="K45">
        <v>0.99699248120300754</v>
      </c>
      <c r="L45">
        <v>0.41899999999999998</v>
      </c>
      <c r="M45">
        <v>-22.021999999999998</v>
      </c>
      <c r="N45">
        <v>787.47900000000004</v>
      </c>
      <c r="O45">
        <v>814.154</v>
      </c>
      <c r="P45">
        <v>45.290999999999997</v>
      </c>
      <c r="Q45">
        <v>497.53800000000001</v>
      </c>
      <c r="R45">
        <v>814.154</v>
      </c>
      <c r="S45">
        <v>1111.788</v>
      </c>
      <c r="T45">
        <v>1130.769</v>
      </c>
      <c r="U45">
        <v>27.582000000000001</v>
      </c>
      <c r="V45">
        <v>1085.538</v>
      </c>
      <c r="W45">
        <v>1176</v>
      </c>
      <c r="X45">
        <v>3626.0630000000001</v>
      </c>
      <c r="Y45">
        <v>3618.462</v>
      </c>
      <c r="Z45">
        <v>125.236</v>
      </c>
      <c r="AA45">
        <v>3301.846</v>
      </c>
      <c r="AB45">
        <v>3935.0770000000002</v>
      </c>
      <c r="AC45">
        <v>2.66</v>
      </c>
      <c r="AD45">
        <v>194.197</v>
      </c>
      <c r="AE45">
        <v>194.76300000000001</v>
      </c>
      <c r="AF45">
        <v>6.7119999999999997</v>
      </c>
      <c r="AG45">
        <v>126.51600000000001</v>
      </c>
      <c r="AH45">
        <v>0</v>
      </c>
      <c r="AI45">
        <v>204.98</v>
      </c>
      <c r="AJ45">
        <v>2.5793650793650796E-2</v>
      </c>
      <c r="AK45">
        <v>0.90100000000000002</v>
      </c>
      <c r="AL45">
        <v>-26.702000000000002</v>
      </c>
      <c r="AM45">
        <v>330.45299999999997</v>
      </c>
      <c r="AN45">
        <v>325.29000000000002</v>
      </c>
      <c r="AO45">
        <v>21.905999999999999</v>
      </c>
      <c r="AP45">
        <v>278.82</v>
      </c>
      <c r="AQ45">
        <v>371.76</v>
      </c>
      <c r="AR45">
        <v>2469.8789999999999</v>
      </c>
      <c r="AS45">
        <v>2509.3780000000002</v>
      </c>
      <c r="AT45">
        <v>123.81</v>
      </c>
      <c r="AU45">
        <v>1394.0989999999999</v>
      </c>
      <c r="AV45">
        <v>2555.848</v>
      </c>
      <c r="AW45">
        <v>3074.2289999999998</v>
      </c>
      <c r="AX45">
        <v>3020.5479999999998</v>
      </c>
      <c r="AY45">
        <v>136.291</v>
      </c>
      <c r="AZ45">
        <v>2881.1379999999999</v>
      </c>
      <c r="BA45">
        <v>3531.7179999999998</v>
      </c>
      <c r="BB45">
        <v>2.52</v>
      </c>
      <c r="BC45">
        <v>198.517</v>
      </c>
      <c r="BD45">
        <v>194.76300000000001</v>
      </c>
      <c r="BE45">
        <v>20.427</v>
      </c>
      <c r="BF45">
        <v>190.90899999999999</v>
      </c>
      <c r="BG45">
        <v>0.48655462184873949</v>
      </c>
      <c r="BH45">
        <v>336.64100000000002</v>
      </c>
      <c r="BI45">
        <v>1.8067226890756301E-2</v>
      </c>
      <c r="BJ45">
        <v>0.85499999999999998</v>
      </c>
      <c r="BK45">
        <v>-27.513000000000002</v>
      </c>
      <c r="BL45">
        <v>380.04</v>
      </c>
      <c r="BM45">
        <v>376.52100000000002</v>
      </c>
      <c r="BN45">
        <v>33.405999999999999</v>
      </c>
      <c r="BO45">
        <v>329.45600000000002</v>
      </c>
      <c r="BP45">
        <v>705.97699999999998</v>
      </c>
      <c r="BQ45">
        <v>1157.971</v>
      </c>
      <c r="BR45">
        <v>1129.5619999999999</v>
      </c>
      <c r="BS45">
        <v>101.794</v>
      </c>
      <c r="BT45">
        <v>1035.432</v>
      </c>
      <c r="BU45">
        <v>1600.213</v>
      </c>
      <c r="BV45">
        <v>2539.395</v>
      </c>
      <c r="BW45">
        <v>2494.4499999999998</v>
      </c>
      <c r="BX45">
        <v>142.387</v>
      </c>
      <c r="BY45">
        <v>2353.2550000000001</v>
      </c>
      <c r="BZ45">
        <v>3294.5569999999998</v>
      </c>
      <c r="CA45">
        <v>2.38</v>
      </c>
      <c r="CB45">
        <v>7</v>
      </c>
      <c r="CC45">
        <v>3</v>
      </c>
      <c r="CD45">
        <v>0</v>
      </c>
      <c r="CE45">
        <v>4</v>
      </c>
      <c r="CF45">
        <v>0</v>
      </c>
    </row>
    <row r="46" spans="1:84" x14ac:dyDescent="0.35">
      <c r="A46" t="s">
        <v>551</v>
      </c>
      <c r="B46" t="str">
        <f t="shared" si="2"/>
        <v xml:space="preserve"> cl_bo_1987_10_16_628</v>
      </c>
      <c r="C46" s="1">
        <f t="shared" si="3"/>
        <v>45803</v>
      </c>
      <c r="D46" t="s">
        <v>78</v>
      </c>
      <c r="E46">
        <v>156.02500000000001</v>
      </c>
      <c r="F46">
        <v>151.435</v>
      </c>
      <c r="G46">
        <v>20.219000000000001</v>
      </c>
      <c r="H46">
        <v>147.774</v>
      </c>
      <c r="I46">
        <v>0.99152542372881358</v>
      </c>
      <c r="J46">
        <v>300.29199999999997</v>
      </c>
      <c r="K46">
        <v>8.4745762711864406E-3</v>
      </c>
      <c r="L46">
        <v>1.071</v>
      </c>
      <c r="M46">
        <v>-17.315000000000001</v>
      </c>
      <c r="N46">
        <v>785.13</v>
      </c>
      <c r="O46">
        <v>778.23500000000001</v>
      </c>
      <c r="P46">
        <v>59.759</v>
      </c>
      <c r="Q46">
        <v>667.05899999999997</v>
      </c>
      <c r="R46">
        <v>1000.588</v>
      </c>
      <c r="S46">
        <v>1042.0070000000001</v>
      </c>
      <c r="T46">
        <v>1037.6469999999999</v>
      </c>
      <c r="U46">
        <v>49.658000000000001</v>
      </c>
      <c r="V46">
        <v>963.529</v>
      </c>
      <c r="W46">
        <v>1260</v>
      </c>
      <c r="X46">
        <v>2379.09</v>
      </c>
      <c r="Y46">
        <v>2371.7649999999999</v>
      </c>
      <c r="Z46">
        <v>108.279</v>
      </c>
      <c r="AA46">
        <v>2186.471</v>
      </c>
      <c r="AB46">
        <v>2853.529</v>
      </c>
      <c r="AC46">
        <v>2.36</v>
      </c>
      <c r="AD46">
        <v>156.11199999999999</v>
      </c>
      <c r="AE46">
        <v>153.04900000000001</v>
      </c>
      <c r="AF46">
        <v>16.242999999999999</v>
      </c>
      <c r="AG46">
        <v>145.476</v>
      </c>
      <c r="AH46">
        <v>0.97192982456140364</v>
      </c>
      <c r="AI46">
        <v>286.89600000000002</v>
      </c>
      <c r="AJ46">
        <v>1.1842105263157895E-2</v>
      </c>
      <c r="AK46">
        <v>1.415</v>
      </c>
      <c r="AL46">
        <v>-25.51</v>
      </c>
      <c r="AM46">
        <v>313.57299999999998</v>
      </c>
      <c r="AN46">
        <v>299.745</v>
      </c>
      <c r="AO46">
        <v>22.36</v>
      </c>
      <c r="AP46">
        <v>299.745</v>
      </c>
      <c r="AQ46">
        <v>412.15</v>
      </c>
      <c r="AR46">
        <v>1316.011</v>
      </c>
      <c r="AS46">
        <v>1273.9169999999999</v>
      </c>
      <c r="AT46">
        <v>136.69200000000001</v>
      </c>
      <c r="AU46">
        <v>1161.5119999999999</v>
      </c>
      <c r="AV46">
        <v>2060.748</v>
      </c>
      <c r="AW46">
        <v>3671.4319999999998</v>
      </c>
      <c r="AX46">
        <v>3671.8780000000002</v>
      </c>
      <c r="AY46">
        <v>193.03200000000001</v>
      </c>
      <c r="AZ46">
        <v>2660.2379999999998</v>
      </c>
      <c r="BA46">
        <v>4009.0909999999999</v>
      </c>
      <c r="BB46">
        <v>2.2799999999999998</v>
      </c>
      <c r="BC46">
        <v>153.04</v>
      </c>
      <c r="BD46">
        <v>150.03700000000001</v>
      </c>
      <c r="BE46">
        <v>8.6059999999999999</v>
      </c>
      <c r="BF46">
        <v>134.45099999999999</v>
      </c>
      <c r="BG46">
        <v>0.998046875</v>
      </c>
      <c r="BH46">
        <v>180.42099999999999</v>
      </c>
      <c r="BI46">
        <v>2.9687499999999999E-2</v>
      </c>
      <c r="BJ46">
        <v>0.65200000000000002</v>
      </c>
      <c r="BK46">
        <v>-24.959</v>
      </c>
      <c r="BL46">
        <v>382.68900000000002</v>
      </c>
      <c r="BM46">
        <v>399.25900000000001</v>
      </c>
      <c r="BN46">
        <v>21.8</v>
      </c>
      <c r="BO46">
        <v>326.66699999999997</v>
      </c>
      <c r="BP46">
        <v>435.55599999999998</v>
      </c>
      <c r="BQ46">
        <v>1048.56</v>
      </c>
      <c r="BR46">
        <v>1016.296</v>
      </c>
      <c r="BS46">
        <v>75.614000000000004</v>
      </c>
      <c r="BT46">
        <v>1016.296</v>
      </c>
      <c r="BU46">
        <v>1342.963</v>
      </c>
      <c r="BV46">
        <v>4105.4269999999997</v>
      </c>
      <c r="BW46">
        <v>4137.7780000000002</v>
      </c>
      <c r="BX46">
        <v>200.28700000000001</v>
      </c>
      <c r="BY46">
        <v>3339.259</v>
      </c>
      <c r="BZ46">
        <v>4500.741</v>
      </c>
      <c r="CA46">
        <v>2.56</v>
      </c>
    </row>
    <row r="47" spans="1:84" x14ac:dyDescent="0.35">
      <c r="A47" t="s">
        <v>458</v>
      </c>
      <c r="B47" t="str">
        <f t="shared" si="2"/>
        <v xml:space="preserve"> cl_de_1999_11_04_085</v>
      </c>
      <c r="C47" s="1">
        <f t="shared" si="3"/>
        <v>45762</v>
      </c>
      <c r="D47" t="s">
        <v>78</v>
      </c>
      <c r="E47">
        <v>185.809</v>
      </c>
      <c r="F47">
        <v>185.405</v>
      </c>
      <c r="G47">
        <v>5.4649999999999999</v>
      </c>
      <c r="H47">
        <v>178.749</v>
      </c>
      <c r="I47">
        <v>0.13476821192052979</v>
      </c>
      <c r="J47">
        <v>213.04300000000001</v>
      </c>
      <c r="K47">
        <v>0</v>
      </c>
      <c r="L47">
        <v>0.48199999999999998</v>
      </c>
      <c r="M47">
        <v>-28.785</v>
      </c>
      <c r="N47">
        <v>513.89400000000001</v>
      </c>
      <c r="O47">
        <v>535.08600000000001</v>
      </c>
      <c r="P47">
        <v>61.655999999999999</v>
      </c>
      <c r="Q47">
        <v>445.90499999999997</v>
      </c>
      <c r="R47">
        <v>891.81</v>
      </c>
      <c r="S47">
        <v>1254.569</v>
      </c>
      <c r="T47">
        <v>1248.5340000000001</v>
      </c>
      <c r="U47">
        <v>63.008000000000003</v>
      </c>
      <c r="V47">
        <v>1114.7619999999999</v>
      </c>
      <c r="W47">
        <v>1694.4390000000001</v>
      </c>
      <c r="X47">
        <v>3513.2620000000002</v>
      </c>
      <c r="Y47">
        <v>3478.0590000000002</v>
      </c>
      <c r="Z47">
        <v>379.47800000000001</v>
      </c>
      <c r="AA47">
        <v>2720.02</v>
      </c>
      <c r="AB47">
        <v>4592.8209999999999</v>
      </c>
      <c r="AC47">
        <v>3.02</v>
      </c>
      <c r="AD47">
        <v>188.91900000000001</v>
      </c>
      <c r="AE47">
        <v>187.88800000000001</v>
      </c>
      <c r="AF47">
        <v>4.1970000000000001</v>
      </c>
      <c r="AG47">
        <v>180.95</v>
      </c>
      <c r="AH47">
        <v>0.98662420382165594</v>
      </c>
      <c r="AI47">
        <v>216.17599999999999</v>
      </c>
      <c r="AJ47">
        <v>6.3694267515923561E-3</v>
      </c>
      <c r="AK47">
        <v>0.28699999999999998</v>
      </c>
      <c r="AL47">
        <v>-29.201000000000001</v>
      </c>
      <c r="AM47">
        <v>360.22</v>
      </c>
      <c r="AN47">
        <v>361.10500000000002</v>
      </c>
      <c r="AO47">
        <v>11.02</v>
      </c>
      <c r="AP47">
        <v>315.96699999999998</v>
      </c>
      <c r="AQ47">
        <v>406.24400000000003</v>
      </c>
      <c r="AR47">
        <v>2542.2159999999999</v>
      </c>
      <c r="AS47">
        <v>2572.8760000000002</v>
      </c>
      <c r="AT47">
        <v>102.768</v>
      </c>
      <c r="AU47">
        <v>1895.8030000000001</v>
      </c>
      <c r="AV47">
        <v>2618.0140000000001</v>
      </c>
      <c r="AW47">
        <v>3606.2179999999998</v>
      </c>
      <c r="AX47">
        <v>3611.0540000000001</v>
      </c>
      <c r="AY47">
        <v>147.953</v>
      </c>
      <c r="AZ47">
        <v>3249.9490000000001</v>
      </c>
      <c r="BA47">
        <v>3972.16</v>
      </c>
      <c r="BB47">
        <v>3.14</v>
      </c>
      <c r="BC47">
        <v>187.76599999999999</v>
      </c>
      <c r="BD47">
        <v>186.357</v>
      </c>
      <c r="BE47">
        <v>6.9939999999999998</v>
      </c>
      <c r="BF47">
        <v>182.23099999999999</v>
      </c>
      <c r="BG47">
        <v>0.87929936305732481</v>
      </c>
      <c r="BH47">
        <v>253.44800000000001</v>
      </c>
      <c r="BI47">
        <v>0</v>
      </c>
      <c r="BJ47">
        <v>0.40799999999999997</v>
      </c>
      <c r="BK47">
        <v>-30.099</v>
      </c>
      <c r="BL47">
        <v>376.86399999999998</v>
      </c>
      <c r="BM47">
        <v>356.00400000000002</v>
      </c>
      <c r="BN47">
        <v>35.716000000000001</v>
      </c>
      <c r="BO47">
        <v>356.00400000000002</v>
      </c>
      <c r="BP47">
        <v>534.00599999999997</v>
      </c>
      <c r="BQ47">
        <v>1140.943</v>
      </c>
      <c r="BR47">
        <v>1157.0129999999999</v>
      </c>
      <c r="BS47">
        <v>58</v>
      </c>
      <c r="BT47">
        <v>979.01099999999997</v>
      </c>
      <c r="BU47">
        <v>1424.0160000000001</v>
      </c>
      <c r="BV47">
        <v>3518.12</v>
      </c>
      <c r="BW47">
        <v>3515.54</v>
      </c>
      <c r="BX47">
        <v>228.41800000000001</v>
      </c>
      <c r="BY47">
        <v>3026.0340000000001</v>
      </c>
      <c r="BZ47">
        <v>4138.5469999999996</v>
      </c>
      <c r="CA47">
        <v>3.14</v>
      </c>
      <c r="CB47">
        <v>6</v>
      </c>
      <c r="CC47">
        <v>0</v>
      </c>
      <c r="CD47">
        <v>0</v>
      </c>
      <c r="CE47">
        <v>1</v>
      </c>
      <c r="CF47">
        <v>0</v>
      </c>
    </row>
    <row r="48" spans="1:84" x14ac:dyDescent="0.35">
      <c r="A48" t="s">
        <v>459</v>
      </c>
      <c r="B48" t="str">
        <f t="shared" si="2"/>
        <v xml:space="preserve"> cl_me_2004_10_20_681</v>
      </c>
      <c r="C48" s="1">
        <f t="shared" si="3"/>
        <v>45762</v>
      </c>
      <c r="D48" t="s">
        <v>78</v>
      </c>
      <c r="E48">
        <v>186.20500000000001</v>
      </c>
      <c r="F48">
        <v>185.072</v>
      </c>
      <c r="G48">
        <v>5.9790000000000001</v>
      </c>
      <c r="H48">
        <v>180.10499999999999</v>
      </c>
      <c r="I48">
        <v>0.80724637681159439</v>
      </c>
      <c r="J48">
        <v>213.63300000000001</v>
      </c>
      <c r="K48">
        <v>0</v>
      </c>
      <c r="L48">
        <v>0.90800000000000003</v>
      </c>
      <c r="M48">
        <v>-23.306999999999999</v>
      </c>
      <c r="N48">
        <v>702.13499999999999</v>
      </c>
      <c r="O48">
        <v>701.39200000000005</v>
      </c>
      <c r="P48">
        <v>58.976999999999997</v>
      </c>
      <c r="Q48">
        <v>657.55499999999995</v>
      </c>
      <c r="R48">
        <v>920.577</v>
      </c>
      <c r="S48">
        <v>1194.18</v>
      </c>
      <c r="T48">
        <v>1183.598</v>
      </c>
      <c r="U48">
        <v>90.067999999999998</v>
      </c>
      <c r="V48">
        <v>1008.25</v>
      </c>
      <c r="W48">
        <v>1490.4570000000001</v>
      </c>
      <c r="X48">
        <v>3029.2089999999998</v>
      </c>
      <c r="Y48">
        <v>2980.915</v>
      </c>
      <c r="Z48">
        <v>187.88</v>
      </c>
      <c r="AA48">
        <v>2761.73</v>
      </c>
      <c r="AB48">
        <v>4339.8609999999999</v>
      </c>
      <c r="AC48">
        <v>1.38</v>
      </c>
      <c r="AD48">
        <v>189.869</v>
      </c>
      <c r="AE48">
        <v>187.375</v>
      </c>
      <c r="AF48">
        <v>7.9550000000000001</v>
      </c>
      <c r="AG48">
        <v>184.29900000000001</v>
      </c>
      <c r="AH48">
        <v>0.23939393939393938</v>
      </c>
      <c r="AI48">
        <v>226.48599999999999</v>
      </c>
      <c r="AJ48">
        <v>1.7424242424242422E-2</v>
      </c>
      <c r="AK48">
        <v>0.74099999999999999</v>
      </c>
      <c r="AL48">
        <v>-29.39</v>
      </c>
      <c r="AM48">
        <v>361.18700000000001</v>
      </c>
      <c r="AN48">
        <v>360.36799999999999</v>
      </c>
      <c r="AO48">
        <v>6074</v>
      </c>
      <c r="AP48">
        <v>360.36799999999999</v>
      </c>
      <c r="AQ48">
        <v>405.41399999999999</v>
      </c>
      <c r="AR48">
        <v>2315.6959999999999</v>
      </c>
      <c r="AS48">
        <v>2342.39</v>
      </c>
      <c r="AT48">
        <v>144.22200000000001</v>
      </c>
      <c r="AU48">
        <v>1936.9770000000001</v>
      </c>
      <c r="AV48">
        <v>2522.5740000000001</v>
      </c>
      <c r="AW48">
        <v>3240.98</v>
      </c>
      <c r="AX48">
        <v>3198.2640000000001</v>
      </c>
      <c r="AY48">
        <v>147.70500000000001</v>
      </c>
      <c r="AZ48">
        <v>3018.08</v>
      </c>
      <c r="BA48">
        <v>3738.8150000000001</v>
      </c>
      <c r="BB48">
        <v>1.32</v>
      </c>
      <c r="BC48">
        <v>188.97900000000001</v>
      </c>
      <c r="BD48">
        <v>185.964</v>
      </c>
      <c r="BE48">
        <v>13.601000000000001</v>
      </c>
      <c r="BF48">
        <v>183.96899999999999</v>
      </c>
      <c r="BG48">
        <v>0.74843749999999998</v>
      </c>
      <c r="BH48">
        <v>284.779</v>
      </c>
      <c r="BI48">
        <v>1.7187499999999998E-2</v>
      </c>
      <c r="BJ48">
        <v>1.502</v>
      </c>
      <c r="BK48">
        <v>-31.620999999999999</v>
      </c>
      <c r="BL48">
        <v>376.43</v>
      </c>
      <c r="BM48">
        <v>365.21699999999998</v>
      </c>
      <c r="BN48">
        <v>62.975000000000001</v>
      </c>
      <c r="BO48">
        <v>319.565</v>
      </c>
      <c r="BP48">
        <v>776.08699999999999</v>
      </c>
      <c r="BQ48">
        <v>1214.348</v>
      </c>
      <c r="BR48">
        <v>1186.9570000000001</v>
      </c>
      <c r="BS48">
        <v>127.5</v>
      </c>
      <c r="BT48">
        <v>1095.652</v>
      </c>
      <c r="BU48">
        <v>1369.5650000000001</v>
      </c>
      <c r="BV48">
        <v>3628.1460000000002</v>
      </c>
      <c r="BW48">
        <v>3606.5219999999999</v>
      </c>
      <c r="BX48">
        <v>255.80099999999999</v>
      </c>
      <c r="BY48">
        <v>3058.6959999999999</v>
      </c>
      <c r="BZ48">
        <v>4245.652</v>
      </c>
      <c r="CA48">
        <v>1.28</v>
      </c>
      <c r="CB48">
        <v>7</v>
      </c>
      <c r="CC48">
        <v>4</v>
      </c>
      <c r="CD48">
        <v>0</v>
      </c>
      <c r="CE48">
        <v>6</v>
      </c>
      <c r="CF48">
        <v>6</v>
      </c>
    </row>
    <row r="49" spans="1:84" x14ac:dyDescent="0.35">
      <c r="A49" t="s">
        <v>460</v>
      </c>
      <c r="B49" t="str">
        <f t="shared" si="2"/>
        <v xml:space="preserve"> cl_ra_2005_06_17_016</v>
      </c>
      <c r="C49" s="1">
        <f t="shared" si="3"/>
        <v>45762</v>
      </c>
      <c r="D49" t="s">
        <v>78</v>
      </c>
      <c r="E49">
        <v>193.864</v>
      </c>
      <c r="F49">
        <v>195.38</v>
      </c>
      <c r="G49">
        <v>14.651</v>
      </c>
      <c r="H49">
        <v>99.903000000000006</v>
      </c>
      <c r="I49">
        <v>0.32614379084967321</v>
      </c>
      <c r="J49">
        <v>237.09700000000001</v>
      </c>
      <c r="K49">
        <v>0</v>
      </c>
      <c r="L49">
        <v>2.02</v>
      </c>
      <c r="M49">
        <v>-24.815000000000001</v>
      </c>
      <c r="N49">
        <v>461.839</v>
      </c>
      <c r="O49">
        <v>417.78899999999999</v>
      </c>
      <c r="P49">
        <v>72.162000000000006</v>
      </c>
      <c r="Q49">
        <v>371.36799999999999</v>
      </c>
      <c r="R49">
        <v>696.31600000000003</v>
      </c>
      <c r="S49">
        <v>1101.5440000000001</v>
      </c>
      <c r="T49">
        <v>1114.105</v>
      </c>
      <c r="U49">
        <v>42.003999999999998</v>
      </c>
      <c r="V49">
        <v>1021.263</v>
      </c>
      <c r="W49">
        <v>1206.9469999999999</v>
      </c>
      <c r="X49">
        <v>3242.2310000000002</v>
      </c>
      <c r="Y49">
        <v>3249.4740000000002</v>
      </c>
      <c r="Z49">
        <v>161.40799999999999</v>
      </c>
      <c r="AA49">
        <v>2831.6840000000002</v>
      </c>
      <c r="AB49">
        <v>3667.2629999999999</v>
      </c>
      <c r="AC49">
        <v>3.06</v>
      </c>
      <c r="AD49">
        <v>188.51300000000001</v>
      </c>
      <c r="AE49">
        <v>194.15100000000001</v>
      </c>
      <c r="AF49">
        <v>28.09</v>
      </c>
      <c r="AG49">
        <v>96.68</v>
      </c>
      <c r="AH49">
        <v>0.7878612716763006</v>
      </c>
      <c r="AI49">
        <v>275.625</v>
      </c>
      <c r="AJ49">
        <v>0</v>
      </c>
      <c r="AK49">
        <v>2.9689999999999999</v>
      </c>
      <c r="AL49">
        <v>-25.007000000000001</v>
      </c>
      <c r="AM49">
        <v>353.54199999999997</v>
      </c>
      <c r="AN49">
        <v>354.57299999999998</v>
      </c>
      <c r="AO49">
        <v>18.064</v>
      </c>
      <c r="AP49">
        <v>265.93</v>
      </c>
      <c r="AQ49">
        <v>398.89400000000001</v>
      </c>
      <c r="AR49">
        <v>2131.4659999999999</v>
      </c>
      <c r="AS49">
        <v>2171.759</v>
      </c>
      <c r="AT49">
        <v>189.55199999999999</v>
      </c>
      <c r="AU49">
        <v>1551.2560000000001</v>
      </c>
      <c r="AV49">
        <v>2393.3670000000002</v>
      </c>
      <c r="AW49">
        <v>3493.5340000000001</v>
      </c>
      <c r="AX49">
        <v>3501.4070000000002</v>
      </c>
      <c r="AY49">
        <v>215.69399999999999</v>
      </c>
      <c r="AZ49">
        <v>2925.2260000000001</v>
      </c>
      <c r="BA49">
        <v>3988.9450000000002</v>
      </c>
      <c r="BB49">
        <v>3.46</v>
      </c>
      <c r="BC49">
        <v>202.333</v>
      </c>
      <c r="BD49">
        <v>201.63300000000001</v>
      </c>
      <c r="BE49">
        <v>6.33</v>
      </c>
      <c r="BF49">
        <v>179.37200000000001</v>
      </c>
      <c r="BG49">
        <v>0.98794326241134756</v>
      </c>
      <c r="BH49">
        <v>247.75299999999999</v>
      </c>
      <c r="BI49">
        <v>0</v>
      </c>
      <c r="BJ49">
        <v>0.499</v>
      </c>
      <c r="BK49">
        <v>-30.37</v>
      </c>
      <c r="BL49">
        <v>384.82100000000003</v>
      </c>
      <c r="BM49">
        <v>387.69200000000001</v>
      </c>
      <c r="BN49">
        <v>18.498999999999999</v>
      </c>
      <c r="BO49">
        <v>339.23099999999999</v>
      </c>
      <c r="BP49">
        <v>436.154</v>
      </c>
      <c r="BQ49">
        <v>1016.178</v>
      </c>
      <c r="BR49">
        <v>1017.692</v>
      </c>
      <c r="BS49">
        <v>40.470999999999997</v>
      </c>
      <c r="BT49">
        <v>969.23099999999999</v>
      </c>
      <c r="BU49">
        <v>1260</v>
      </c>
      <c r="BV49">
        <v>3615.9490000000001</v>
      </c>
      <c r="BW49">
        <v>3586.154</v>
      </c>
      <c r="BX49">
        <v>211.81800000000001</v>
      </c>
      <c r="BY49">
        <v>2907.692</v>
      </c>
      <c r="BZ49">
        <v>4167.692</v>
      </c>
      <c r="CA49">
        <v>2.82</v>
      </c>
    </row>
    <row r="50" spans="1:84" x14ac:dyDescent="0.35">
      <c r="A50" t="s">
        <v>461</v>
      </c>
      <c r="B50" t="str">
        <f>_xlfn.TEXTBEFORE(_xlfn.TEXTAFTER(A50,"-"),"_ONLY_VOWELS")</f>
        <v xml:space="preserve"> da_ba_1996_03_25_685</v>
      </c>
      <c r="C50" s="1">
        <f t="shared" si="3"/>
        <v>45762</v>
      </c>
      <c r="D50" t="s">
        <v>78</v>
      </c>
      <c r="E50">
        <v>179.291</v>
      </c>
      <c r="F50">
        <v>178.85300000000001</v>
      </c>
      <c r="G50">
        <v>2.2719999999999998</v>
      </c>
      <c r="H50">
        <v>173.81800000000001</v>
      </c>
      <c r="I50">
        <v>0.97206896551724142</v>
      </c>
      <c r="J50">
        <v>194.273</v>
      </c>
      <c r="K50">
        <v>0</v>
      </c>
      <c r="L50">
        <v>0.625</v>
      </c>
      <c r="M50">
        <v>-26.981000000000002</v>
      </c>
      <c r="N50">
        <v>510.95</v>
      </c>
      <c r="O50">
        <v>471.887</v>
      </c>
      <c r="P50">
        <v>74.911000000000001</v>
      </c>
      <c r="Q50">
        <v>386.089</v>
      </c>
      <c r="R50">
        <v>857.97699999999998</v>
      </c>
      <c r="S50">
        <v>1191.75</v>
      </c>
      <c r="T50">
        <v>1201.1669999999999</v>
      </c>
      <c r="U50">
        <v>51.682000000000002</v>
      </c>
      <c r="V50">
        <v>1115.3699999999999</v>
      </c>
      <c r="W50">
        <v>1372.7629999999999</v>
      </c>
      <c r="X50">
        <v>2128.8980000000001</v>
      </c>
      <c r="Y50">
        <v>2102.0430000000001</v>
      </c>
      <c r="Z50">
        <v>177.166</v>
      </c>
      <c r="AA50">
        <v>1887.549</v>
      </c>
      <c r="AB50">
        <v>2702.6260000000002</v>
      </c>
      <c r="AC50">
        <v>2.9</v>
      </c>
      <c r="AD50">
        <v>180.148</v>
      </c>
      <c r="AE50">
        <v>179.268</v>
      </c>
      <c r="AF50">
        <v>4.2640000000000002</v>
      </c>
      <c r="AG50">
        <v>171.691</v>
      </c>
      <c r="AH50">
        <v>0.19487179487179487</v>
      </c>
      <c r="AI50">
        <v>204.30199999999999</v>
      </c>
      <c r="AJ50">
        <v>7.3717948717948716E-3</v>
      </c>
      <c r="AK50">
        <v>0.76900000000000002</v>
      </c>
      <c r="AL50">
        <v>-28.003</v>
      </c>
      <c r="AM50">
        <v>347.52100000000002</v>
      </c>
      <c r="AN50">
        <v>344.86799999999999</v>
      </c>
      <c r="AO50">
        <v>10.4</v>
      </c>
      <c r="AP50">
        <v>344.86799999999999</v>
      </c>
      <c r="AQ50">
        <v>387.97699999999998</v>
      </c>
      <c r="AR50">
        <v>1011.453</v>
      </c>
      <c r="AS50">
        <v>991.49599999999998</v>
      </c>
      <c r="AT50">
        <v>104.161</v>
      </c>
      <c r="AU50">
        <v>948.38699999999994</v>
      </c>
      <c r="AV50">
        <v>1681.232</v>
      </c>
      <c r="AW50">
        <v>3567.634</v>
      </c>
      <c r="AX50">
        <v>3405.5720000000001</v>
      </c>
      <c r="AY50">
        <v>473.12799999999999</v>
      </c>
      <c r="AZ50">
        <v>2974.4870000000001</v>
      </c>
      <c r="BA50">
        <v>4828.152</v>
      </c>
      <c r="BB50">
        <v>3.12</v>
      </c>
      <c r="BC50">
        <v>179.214</v>
      </c>
      <c r="BD50">
        <v>179.268</v>
      </c>
      <c r="BE50">
        <v>3.1840000000000002</v>
      </c>
      <c r="BF50">
        <v>172.554</v>
      </c>
      <c r="BG50">
        <v>0.15493421052631579</v>
      </c>
      <c r="BH50">
        <v>195.38</v>
      </c>
      <c r="BI50">
        <v>7.8947368421052634E-3</v>
      </c>
      <c r="BJ50">
        <v>0.74299999999999999</v>
      </c>
      <c r="BK50">
        <v>-28.045000000000002</v>
      </c>
      <c r="BL50">
        <v>347.16300000000001</v>
      </c>
      <c r="BM50">
        <v>342.524</v>
      </c>
      <c r="BN50">
        <v>25.312000000000001</v>
      </c>
      <c r="BO50">
        <v>299.709</v>
      </c>
      <c r="BP50">
        <v>556.60199999999998</v>
      </c>
      <c r="BQ50">
        <v>1004.107</v>
      </c>
      <c r="BR50">
        <v>984.75699999999995</v>
      </c>
      <c r="BS50">
        <v>77.072999999999993</v>
      </c>
      <c r="BT50">
        <v>941.94200000000001</v>
      </c>
      <c r="BU50">
        <v>1370.097</v>
      </c>
      <c r="BV50">
        <v>3202.2040000000002</v>
      </c>
      <c r="BW50">
        <v>3211.165</v>
      </c>
      <c r="BX50">
        <v>372.93799999999999</v>
      </c>
      <c r="BY50">
        <v>2183.5920000000001</v>
      </c>
      <c r="BZ50">
        <v>4966.6019999999999</v>
      </c>
      <c r="CA50">
        <v>3.04</v>
      </c>
      <c r="CB50">
        <v>6</v>
      </c>
      <c r="CC50">
        <v>7</v>
      </c>
      <c r="CD50">
        <v>1</v>
      </c>
      <c r="CE50">
        <v>4</v>
      </c>
      <c r="CF50">
        <v>6</v>
      </c>
    </row>
    <row r="51" spans="1:84" x14ac:dyDescent="0.35">
      <c r="A51" t="s">
        <v>462</v>
      </c>
      <c r="B51" t="str">
        <f t="shared" ref="B51:B57" si="4">_xlfn.TEXTAFTER(A51,"-")</f>
        <v xml:space="preserve"> el_br_2002_07_12_207</v>
      </c>
      <c r="C51" s="1">
        <f t="shared" si="3"/>
        <v>45762</v>
      </c>
      <c r="D51" t="s">
        <v>78</v>
      </c>
      <c r="E51">
        <v>173.065</v>
      </c>
      <c r="F51">
        <v>171.88200000000001</v>
      </c>
      <c r="G51">
        <v>4.0640000000000001</v>
      </c>
      <c r="H51">
        <v>170.17599999999999</v>
      </c>
      <c r="I51">
        <v>0.83967391304347816</v>
      </c>
      <c r="J51">
        <v>198.905</v>
      </c>
      <c r="K51">
        <v>0</v>
      </c>
      <c r="L51">
        <v>0.64700000000000002</v>
      </c>
      <c r="M51">
        <v>-24.518000000000001</v>
      </c>
      <c r="N51">
        <v>596.81700000000001</v>
      </c>
      <c r="O51">
        <v>578.63199999999995</v>
      </c>
      <c r="P51">
        <v>64.903000000000006</v>
      </c>
      <c r="Q51">
        <v>537.30100000000004</v>
      </c>
      <c r="R51">
        <v>991.94</v>
      </c>
      <c r="S51">
        <v>1299.441</v>
      </c>
      <c r="T51">
        <v>1281.2560000000001</v>
      </c>
      <c r="U51">
        <v>55.301000000000002</v>
      </c>
      <c r="V51">
        <v>1115.933</v>
      </c>
      <c r="W51">
        <v>1405.248</v>
      </c>
      <c r="X51">
        <v>2776.8809999999999</v>
      </c>
      <c r="Y51">
        <v>2769.1660000000002</v>
      </c>
      <c r="Z51">
        <v>144.40899999999999</v>
      </c>
      <c r="AA51">
        <v>2438.5189999999998</v>
      </c>
      <c r="AB51">
        <v>3141.143</v>
      </c>
      <c r="AC51">
        <v>1.84</v>
      </c>
      <c r="AD51">
        <v>171.08</v>
      </c>
      <c r="AE51">
        <v>169.989</v>
      </c>
      <c r="AF51">
        <v>3.95</v>
      </c>
      <c r="AG51">
        <v>160.364</v>
      </c>
      <c r="AH51">
        <v>1</v>
      </c>
      <c r="AI51">
        <v>190.321</v>
      </c>
      <c r="AJ51">
        <v>1.1111111111111112E-2</v>
      </c>
      <c r="AK51">
        <v>0.47299999999999998</v>
      </c>
      <c r="AL51">
        <v>-28.367999999999999</v>
      </c>
      <c r="AM51">
        <v>288.52999999999997</v>
      </c>
      <c r="AN51">
        <v>287.16300000000001</v>
      </c>
      <c r="AO51">
        <v>7.49</v>
      </c>
      <c r="AP51">
        <v>287.16300000000001</v>
      </c>
      <c r="AQ51">
        <v>328.18599999999998</v>
      </c>
      <c r="AR51">
        <v>1964.078</v>
      </c>
      <c r="AS51">
        <v>1928.0930000000001</v>
      </c>
      <c r="AT51">
        <v>221.74100000000001</v>
      </c>
      <c r="AU51">
        <v>1558.884</v>
      </c>
      <c r="AV51">
        <v>2502.4189999999999</v>
      </c>
      <c r="AW51">
        <v>3399.873</v>
      </c>
      <c r="AX51">
        <v>3404.93</v>
      </c>
      <c r="AY51">
        <v>124.75700000000001</v>
      </c>
      <c r="AZ51">
        <v>3035.721</v>
      </c>
      <c r="BA51">
        <v>3651.07</v>
      </c>
      <c r="BB51">
        <v>1.8</v>
      </c>
      <c r="BC51">
        <v>170.13</v>
      </c>
      <c r="BD51">
        <v>168.50399999999999</v>
      </c>
      <c r="BE51">
        <v>5.3319999999999999</v>
      </c>
      <c r="BF51">
        <v>166.05699999999999</v>
      </c>
      <c r="BG51">
        <v>0.49885057471264366</v>
      </c>
      <c r="BH51">
        <v>192.57599999999999</v>
      </c>
      <c r="BI51">
        <v>1</v>
      </c>
      <c r="BJ51">
        <v>0.56599999999999995</v>
      </c>
      <c r="BK51">
        <v>-27.786000000000001</v>
      </c>
      <c r="BL51">
        <v>325.46100000000001</v>
      </c>
      <c r="BM51">
        <v>325.46100000000001</v>
      </c>
      <c r="BN51">
        <v>0</v>
      </c>
      <c r="BO51">
        <v>325.46100000000001</v>
      </c>
      <c r="BP51">
        <v>325.46100000000001</v>
      </c>
      <c r="BQ51">
        <v>1006.1130000000001</v>
      </c>
      <c r="BR51">
        <v>976.38400000000001</v>
      </c>
      <c r="BS51">
        <v>81.817999999999998</v>
      </c>
      <c r="BT51">
        <v>935.70100000000002</v>
      </c>
      <c r="BU51">
        <v>1301.845</v>
      </c>
      <c r="BV51">
        <v>3324.9349999999999</v>
      </c>
      <c r="BW51">
        <v>3335.9780000000001</v>
      </c>
      <c r="BX51">
        <v>108.396</v>
      </c>
      <c r="BY51">
        <v>3051.1990000000001</v>
      </c>
      <c r="BZ51">
        <v>3580.0740000000001</v>
      </c>
      <c r="CA51">
        <v>1.74</v>
      </c>
      <c r="CB51">
        <v>3</v>
      </c>
      <c r="CC51">
        <v>0</v>
      </c>
      <c r="CD51">
        <v>0</v>
      </c>
      <c r="CE51">
        <v>0</v>
      </c>
      <c r="CF51">
        <v>0</v>
      </c>
    </row>
    <row r="52" spans="1:84" x14ac:dyDescent="0.35">
      <c r="A52" t="s">
        <v>463</v>
      </c>
      <c r="B52" t="str">
        <f t="shared" si="4"/>
        <v xml:space="preserve"> el_fi_2000_06_25_140</v>
      </c>
      <c r="C52" s="1">
        <f t="shared" si="3"/>
        <v>45762</v>
      </c>
      <c r="D52" t="s">
        <v>78</v>
      </c>
      <c r="E52">
        <v>162.62299999999999</v>
      </c>
      <c r="F52">
        <v>164.02799999999999</v>
      </c>
      <c r="G52">
        <v>7.3760000000000003</v>
      </c>
      <c r="H52">
        <v>109.468</v>
      </c>
      <c r="I52">
        <v>0</v>
      </c>
      <c r="J52">
        <v>169.33600000000001</v>
      </c>
      <c r="K52">
        <v>0.95833333333333337</v>
      </c>
      <c r="L52">
        <v>1.4039999999999999</v>
      </c>
      <c r="M52">
        <v>-19.2</v>
      </c>
      <c r="N52">
        <v>735.625</v>
      </c>
      <c r="O52">
        <v>736.93899999999996</v>
      </c>
      <c r="P52">
        <v>41.353999999999999</v>
      </c>
      <c r="Q52">
        <v>620.58000000000004</v>
      </c>
      <c r="R52">
        <v>892.08399999999995</v>
      </c>
      <c r="S52">
        <v>1083.3409999999999</v>
      </c>
      <c r="T52">
        <v>1086.0160000000001</v>
      </c>
      <c r="U52">
        <v>29.834</v>
      </c>
      <c r="V52">
        <v>1008.443</v>
      </c>
      <c r="W52">
        <v>1124.8019999999999</v>
      </c>
      <c r="X52">
        <v>2889.2489999999998</v>
      </c>
      <c r="Y52">
        <v>2870.1849999999999</v>
      </c>
      <c r="Z52">
        <v>45.194000000000003</v>
      </c>
      <c r="AA52">
        <v>2792.6120000000001</v>
      </c>
      <c r="AB52">
        <v>2986.5439999999999</v>
      </c>
      <c r="AC52">
        <v>1.56</v>
      </c>
      <c r="AD52">
        <v>167.93600000000001</v>
      </c>
      <c r="AE52">
        <v>168.36699999999999</v>
      </c>
      <c r="AF52">
        <v>3.363</v>
      </c>
      <c r="AG52">
        <v>144.185</v>
      </c>
      <c r="AH52">
        <v>0.98703703703703694</v>
      </c>
      <c r="AI52">
        <v>171.97800000000001</v>
      </c>
      <c r="AJ52">
        <v>0</v>
      </c>
      <c r="AK52">
        <v>0.57699999999999996</v>
      </c>
      <c r="AL52">
        <v>-28.902000000000001</v>
      </c>
      <c r="AM52">
        <v>320.77</v>
      </c>
      <c r="AN52">
        <v>320.14499999999998</v>
      </c>
      <c r="AO52">
        <v>5002</v>
      </c>
      <c r="AP52">
        <v>320.14499999999998</v>
      </c>
      <c r="AQ52">
        <v>360.16300000000001</v>
      </c>
      <c r="AW52">
        <v>3273.36</v>
      </c>
      <c r="AX52">
        <v>3281.4879999999998</v>
      </c>
      <c r="AY52">
        <v>86.795000000000002</v>
      </c>
      <c r="AZ52">
        <v>3041.3789999999999</v>
      </c>
      <c r="BA52">
        <v>3521.5970000000002</v>
      </c>
      <c r="BB52">
        <v>1.62</v>
      </c>
      <c r="BC52">
        <v>164.79900000000001</v>
      </c>
      <c r="BD52">
        <v>164.904</v>
      </c>
      <c r="BE52">
        <v>2.5750000000000002</v>
      </c>
      <c r="BF52">
        <v>150.512</v>
      </c>
      <c r="BG52">
        <v>0.99938271604938267</v>
      </c>
      <c r="BH52">
        <v>169.33600000000001</v>
      </c>
      <c r="BI52">
        <v>0.31481481481481483</v>
      </c>
      <c r="BJ52">
        <v>0.54100000000000004</v>
      </c>
      <c r="BK52">
        <v>-28.866</v>
      </c>
      <c r="BL52">
        <v>329.66899999999998</v>
      </c>
      <c r="BM52">
        <v>315.28199999999998</v>
      </c>
      <c r="BN52">
        <v>20.393999999999998</v>
      </c>
      <c r="BO52">
        <v>315.28199999999998</v>
      </c>
      <c r="BP52">
        <v>394.10199999999998</v>
      </c>
      <c r="BQ52">
        <v>1142.895</v>
      </c>
      <c r="BR52">
        <v>1142.895</v>
      </c>
      <c r="BS52">
        <v>40.433999999999997</v>
      </c>
      <c r="BT52">
        <v>1103.4849999999999</v>
      </c>
      <c r="BU52">
        <v>1339.9459999999999</v>
      </c>
      <c r="BV52">
        <v>3045.8449999999998</v>
      </c>
      <c r="BW52">
        <v>3034.5839999999998</v>
      </c>
      <c r="BX52">
        <v>123.095</v>
      </c>
      <c r="BY52">
        <v>2719.3029999999999</v>
      </c>
      <c r="BZ52">
        <v>3349.866</v>
      </c>
      <c r="CA52">
        <v>1.62</v>
      </c>
      <c r="CB52">
        <v>5</v>
      </c>
      <c r="CC52">
        <v>0</v>
      </c>
      <c r="CD52">
        <v>0</v>
      </c>
      <c r="CE52">
        <v>1</v>
      </c>
      <c r="CF52">
        <v>0</v>
      </c>
    </row>
    <row r="53" spans="1:84" x14ac:dyDescent="0.35">
      <c r="A53" t="s">
        <v>464</v>
      </c>
      <c r="B53" t="str">
        <f t="shared" si="4"/>
        <v xml:space="preserve"> el_lu_2005_12_21_023</v>
      </c>
      <c r="C53" s="1">
        <f t="shared" si="3"/>
        <v>45762</v>
      </c>
      <c r="D53" t="s">
        <v>78</v>
      </c>
      <c r="E53">
        <v>167.42599999999999</v>
      </c>
      <c r="F53">
        <v>165.08</v>
      </c>
      <c r="G53">
        <v>20.978000000000002</v>
      </c>
      <c r="H53">
        <v>159.78299999999999</v>
      </c>
      <c r="I53">
        <v>0</v>
      </c>
      <c r="J53">
        <v>325.63299999999998</v>
      </c>
      <c r="K53">
        <v>1.7465753424657532E-2</v>
      </c>
      <c r="L53">
        <v>1.272</v>
      </c>
      <c r="M53">
        <v>-23.475000000000001</v>
      </c>
      <c r="N53">
        <v>610.14099999999996</v>
      </c>
      <c r="O53">
        <v>597.56100000000004</v>
      </c>
      <c r="P53">
        <v>45.689</v>
      </c>
      <c r="Q53">
        <v>517.88599999999997</v>
      </c>
      <c r="R53">
        <v>995.93499999999995</v>
      </c>
      <c r="S53">
        <v>1273.758</v>
      </c>
      <c r="T53">
        <v>1274.797</v>
      </c>
      <c r="U53">
        <v>61.639000000000003</v>
      </c>
      <c r="V53">
        <v>995.93499999999995</v>
      </c>
      <c r="W53">
        <v>1553.6590000000001</v>
      </c>
      <c r="X53">
        <v>2715.5250000000001</v>
      </c>
      <c r="Y53">
        <v>2708.9430000000002</v>
      </c>
      <c r="Z53">
        <v>162.458</v>
      </c>
      <c r="AA53">
        <v>2390.2440000000001</v>
      </c>
      <c r="AB53">
        <v>3266.6669999999999</v>
      </c>
      <c r="AC53">
        <v>2.92</v>
      </c>
      <c r="AD53">
        <v>172.24700000000001</v>
      </c>
      <c r="AE53">
        <v>169.05799999999999</v>
      </c>
      <c r="AF53">
        <v>25.414999999999999</v>
      </c>
      <c r="AG53">
        <v>155.90899999999999</v>
      </c>
      <c r="AH53">
        <v>0.99007633587786248</v>
      </c>
      <c r="AI53">
        <v>358.53699999999998</v>
      </c>
      <c r="AJ53">
        <v>0</v>
      </c>
      <c r="AK53">
        <v>1.9219999999999999</v>
      </c>
      <c r="AL53">
        <v>-29.117999999999999</v>
      </c>
      <c r="AM53">
        <v>331.29199999999997</v>
      </c>
      <c r="AN53">
        <v>326.96899999999999</v>
      </c>
      <c r="AO53">
        <v>23.425999999999998</v>
      </c>
      <c r="AP53">
        <v>326.96899999999999</v>
      </c>
      <c r="AQ53">
        <v>490.45400000000001</v>
      </c>
      <c r="AR53">
        <v>2183.4479999999999</v>
      </c>
      <c r="AS53">
        <v>2207.0439999999999</v>
      </c>
      <c r="AT53">
        <v>147.226</v>
      </c>
      <c r="AU53">
        <v>1389.62</v>
      </c>
      <c r="AV53">
        <v>2452.2710000000002</v>
      </c>
      <c r="AW53">
        <v>3469.4229999999998</v>
      </c>
      <c r="AX53">
        <v>3474.05</v>
      </c>
      <c r="AY53">
        <v>184.542</v>
      </c>
      <c r="AZ53">
        <v>2860.982</v>
      </c>
      <c r="BA53">
        <v>3801.0189999999998</v>
      </c>
      <c r="BB53">
        <v>2.62</v>
      </c>
      <c r="BC53">
        <v>170.83099999999999</v>
      </c>
      <c r="BD53">
        <v>169.33600000000001</v>
      </c>
      <c r="BE53">
        <v>9.4830000000000005</v>
      </c>
      <c r="BF53">
        <v>165.16900000000001</v>
      </c>
      <c r="BG53">
        <v>0.98977272727272725</v>
      </c>
      <c r="BH53">
        <v>259.41199999999998</v>
      </c>
      <c r="BI53">
        <v>9.0909090909090905E-3</v>
      </c>
      <c r="BJ53">
        <v>0.73499999999999999</v>
      </c>
      <c r="BK53">
        <v>-28.14</v>
      </c>
      <c r="BL53">
        <v>385.62400000000002</v>
      </c>
      <c r="BM53">
        <v>371.97800000000001</v>
      </c>
      <c r="BN53">
        <v>24.681000000000001</v>
      </c>
      <c r="BO53">
        <v>371.97800000000001</v>
      </c>
      <c r="BP53">
        <v>495.97</v>
      </c>
      <c r="BQ53">
        <v>1039.999</v>
      </c>
      <c r="BR53">
        <v>1033.271</v>
      </c>
      <c r="BS53">
        <v>76.83</v>
      </c>
      <c r="BT53">
        <v>991.94</v>
      </c>
      <c r="BU53">
        <v>1653.2329999999999</v>
      </c>
      <c r="BV53">
        <v>3563.636</v>
      </c>
      <c r="BW53">
        <v>3554.4520000000002</v>
      </c>
      <c r="BX53">
        <v>186.5</v>
      </c>
      <c r="BY53">
        <v>2645.1729999999998</v>
      </c>
      <c r="BZ53">
        <v>3967.76</v>
      </c>
      <c r="CA53">
        <v>2.64</v>
      </c>
      <c r="CB53">
        <v>7</v>
      </c>
      <c r="CC53">
        <v>3</v>
      </c>
      <c r="CD53">
        <v>2</v>
      </c>
      <c r="CE53">
        <v>3</v>
      </c>
      <c r="CF53">
        <v>0</v>
      </c>
    </row>
    <row r="54" spans="1:84" x14ac:dyDescent="0.35">
      <c r="A54" t="s">
        <v>465</v>
      </c>
      <c r="B54" t="str">
        <f t="shared" si="4"/>
        <v xml:space="preserve"> el_pa_2005_03_01_796</v>
      </c>
      <c r="C54" s="1">
        <f t="shared" si="3"/>
        <v>45762</v>
      </c>
      <c r="D54" t="s">
        <v>78</v>
      </c>
      <c r="E54">
        <v>192.44300000000001</v>
      </c>
      <c r="F54">
        <v>195.00899999999999</v>
      </c>
      <c r="G54">
        <v>15.239000000000001</v>
      </c>
      <c r="H54">
        <v>98.594999999999999</v>
      </c>
      <c r="I54">
        <v>3.6931818181818184E-2</v>
      </c>
      <c r="J54">
        <v>199.161</v>
      </c>
      <c r="K54">
        <v>0</v>
      </c>
      <c r="L54">
        <v>2.734</v>
      </c>
      <c r="M54">
        <v>-18.533000000000001</v>
      </c>
      <c r="N54">
        <v>881.18700000000001</v>
      </c>
      <c r="O54">
        <v>882.92899999999997</v>
      </c>
      <c r="P54">
        <v>87.311999999999998</v>
      </c>
      <c r="Q54">
        <v>418.23</v>
      </c>
      <c r="R54">
        <v>975.86900000000003</v>
      </c>
      <c r="S54">
        <v>1212.866</v>
      </c>
      <c r="T54">
        <v>1208.2190000000001</v>
      </c>
      <c r="U54">
        <v>51.545999999999999</v>
      </c>
      <c r="V54">
        <v>1115.279</v>
      </c>
      <c r="W54">
        <v>1394.0989999999999</v>
      </c>
      <c r="X54">
        <v>2727.2060000000001</v>
      </c>
      <c r="Y54">
        <v>2695.2579999999998</v>
      </c>
      <c r="Z54">
        <v>144.05699999999999</v>
      </c>
      <c r="AA54">
        <v>2462.9079999999999</v>
      </c>
      <c r="AB54">
        <v>3113.4879999999998</v>
      </c>
      <c r="AC54">
        <v>1.76</v>
      </c>
      <c r="AD54">
        <v>193.14400000000001</v>
      </c>
      <c r="AE54">
        <v>197.505</v>
      </c>
      <c r="AF54">
        <v>24.344000000000001</v>
      </c>
      <c r="AG54">
        <v>97.906999999999996</v>
      </c>
      <c r="AH54">
        <v>0.82718446601941742</v>
      </c>
      <c r="AI54">
        <v>216.63200000000001</v>
      </c>
      <c r="AJ54">
        <v>9.7087378640776691E-3</v>
      </c>
      <c r="AK54">
        <v>3.2480000000000002</v>
      </c>
      <c r="AL54">
        <v>-17.300999999999998</v>
      </c>
      <c r="AM54">
        <v>342.39100000000002</v>
      </c>
      <c r="AN54">
        <v>342.39100000000002</v>
      </c>
      <c r="AO54">
        <v>22.96</v>
      </c>
      <c r="AP54">
        <v>319.565</v>
      </c>
      <c r="AQ54">
        <v>365.21699999999998</v>
      </c>
      <c r="AR54">
        <v>1870.2170000000001</v>
      </c>
      <c r="AS54">
        <v>1871.739</v>
      </c>
      <c r="AT54">
        <v>178.82400000000001</v>
      </c>
      <c r="AU54">
        <v>1415.2170000000001</v>
      </c>
      <c r="AV54">
        <v>2191.3040000000001</v>
      </c>
      <c r="AW54">
        <v>3504.4180000000001</v>
      </c>
      <c r="AX54">
        <v>3515.2170000000001</v>
      </c>
      <c r="AY54">
        <v>106.29900000000001</v>
      </c>
      <c r="AZ54">
        <v>3150</v>
      </c>
      <c r="BA54">
        <v>3743.4780000000001</v>
      </c>
      <c r="BB54">
        <v>2.06</v>
      </c>
      <c r="BC54">
        <v>197.566</v>
      </c>
      <c r="BD54">
        <v>197.25200000000001</v>
      </c>
      <c r="BE54">
        <v>16.027000000000001</v>
      </c>
      <c r="BF54">
        <v>96.078000000000003</v>
      </c>
      <c r="BG54">
        <v>0</v>
      </c>
      <c r="BH54">
        <v>293.16199999999998</v>
      </c>
      <c r="BI54">
        <v>8.4000000000000012E-3</v>
      </c>
      <c r="BJ54">
        <v>3.524</v>
      </c>
      <c r="BK54">
        <v>-21.055</v>
      </c>
      <c r="BL54">
        <v>376.08800000000002</v>
      </c>
      <c r="BM54">
        <v>377.73</v>
      </c>
      <c r="BN54">
        <v>20.675999999999998</v>
      </c>
      <c r="BO54">
        <v>330.51400000000001</v>
      </c>
      <c r="BP54">
        <v>424.94600000000003</v>
      </c>
      <c r="BQ54">
        <v>1188.8630000000001</v>
      </c>
      <c r="BR54">
        <v>1180.4069999999999</v>
      </c>
      <c r="BS54">
        <v>76.632000000000005</v>
      </c>
      <c r="BT54">
        <v>1085.9739999999999</v>
      </c>
      <c r="BU54">
        <v>1605.3530000000001</v>
      </c>
      <c r="BV54">
        <v>3109.817</v>
      </c>
      <c r="BW54">
        <v>3116.2739999999999</v>
      </c>
      <c r="BX54">
        <v>149.29900000000001</v>
      </c>
      <c r="BY54">
        <v>2691.328</v>
      </c>
      <c r="BZ54">
        <v>3399.5720000000001</v>
      </c>
      <c r="CA54">
        <v>2.5</v>
      </c>
      <c r="CB54">
        <v>8</v>
      </c>
      <c r="CC54">
        <v>3</v>
      </c>
      <c r="CD54">
        <v>0</v>
      </c>
      <c r="CE54">
        <v>4</v>
      </c>
      <c r="CF54">
        <v>2</v>
      </c>
    </row>
    <row r="55" spans="1:84" x14ac:dyDescent="0.35">
      <c r="A55" t="s">
        <v>466</v>
      </c>
      <c r="B55" t="str">
        <f t="shared" si="4"/>
        <v xml:space="preserve"> el_pa_2005_08_14_772</v>
      </c>
      <c r="C55" s="1">
        <f t="shared" si="3"/>
        <v>45762</v>
      </c>
      <c r="D55" t="s">
        <v>78</v>
      </c>
      <c r="E55">
        <v>204.32</v>
      </c>
      <c r="F55">
        <v>204.30199999999999</v>
      </c>
      <c r="G55">
        <v>3.3730000000000002</v>
      </c>
      <c r="H55">
        <v>198.012</v>
      </c>
      <c r="I55">
        <v>3.465909090909091E-2</v>
      </c>
      <c r="J55">
        <v>237.09700000000001</v>
      </c>
      <c r="K55">
        <v>5.681818181818182E-3</v>
      </c>
      <c r="L55">
        <v>0.35399999999999998</v>
      </c>
      <c r="M55">
        <v>-30.385000000000002</v>
      </c>
      <c r="N55">
        <v>565.96699999999998</v>
      </c>
      <c r="O55">
        <v>543.83399999999995</v>
      </c>
      <c r="P55">
        <v>100.636</v>
      </c>
      <c r="Q55">
        <v>444.95499999999998</v>
      </c>
      <c r="R55">
        <v>840.471</v>
      </c>
      <c r="S55">
        <v>1143.431</v>
      </c>
      <c r="T55">
        <v>1137.1079999999999</v>
      </c>
      <c r="U55">
        <v>65.176000000000002</v>
      </c>
      <c r="V55">
        <v>988.78899999999999</v>
      </c>
      <c r="W55">
        <v>1285.4259999999999</v>
      </c>
      <c r="X55">
        <v>3626.5129999999999</v>
      </c>
      <c r="Y55">
        <v>3658.52</v>
      </c>
      <c r="Z55">
        <v>231.93700000000001</v>
      </c>
      <c r="AA55">
        <v>2867.489</v>
      </c>
      <c r="AB55">
        <v>4103.4750000000004</v>
      </c>
      <c r="AC55">
        <v>3.52</v>
      </c>
      <c r="AD55">
        <v>208.28700000000001</v>
      </c>
      <c r="AE55">
        <v>206.90299999999999</v>
      </c>
      <c r="AF55">
        <v>9.3650000000000002</v>
      </c>
      <c r="AG55">
        <v>202.69200000000001</v>
      </c>
      <c r="AH55">
        <v>0.96445312499999991</v>
      </c>
      <c r="AI55">
        <v>283.21100000000001</v>
      </c>
      <c r="AJ55">
        <v>0</v>
      </c>
      <c r="AK55">
        <v>0.39800000000000002</v>
      </c>
      <c r="AL55">
        <v>-32.095999999999997</v>
      </c>
      <c r="AM55">
        <v>347.827</v>
      </c>
      <c r="AN55">
        <v>351.59500000000003</v>
      </c>
      <c r="AO55">
        <v>18.603999999999999</v>
      </c>
      <c r="AP55">
        <v>251.13900000000001</v>
      </c>
      <c r="AQ55">
        <v>401.822</v>
      </c>
      <c r="AR55">
        <v>1892.3320000000001</v>
      </c>
      <c r="AS55">
        <v>2009.1120000000001</v>
      </c>
      <c r="AT55">
        <v>324.08800000000002</v>
      </c>
      <c r="AU55">
        <v>1205.4670000000001</v>
      </c>
      <c r="AV55">
        <v>2511.39</v>
      </c>
      <c r="AW55">
        <v>3929.2370000000001</v>
      </c>
      <c r="AX55">
        <v>3967.9949999999999</v>
      </c>
      <c r="AY55">
        <v>228.09200000000001</v>
      </c>
      <c r="AZ55">
        <v>2862.9839999999999</v>
      </c>
      <c r="BA55">
        <v>4269.3620000000001</v>
      </c>
      <c r="BB55">
        <v>2.56</v>
      </c>
      <c r="BC55">
        <v>206.446</v>
      </c>
      <c r="BD55">
        <v>207.529</v>
      </c>
      <c r="BE55">
        <v>11.131</v>
      </c>
      <c r="BF55">
        <v>112.295</v>
      </c>
      <c r="BG55">
        <v>6.7567567567567571E-3</v>
      </c>
      <c r="BH55">
        <v>217.85499999999999</v>
      </c>
      <c r="BI55">
        <v>0.98817567567567566</v>
      </c>
      <c r="BJ55">
        <v>0.89100000000000001</v>
      </c>
      <c r="BK55">
        <v>-31.434999999999999</v>
      </c>
      <c r="BL55">
        <v>405.245</v>
      </c>
      <c r="BM55">
        <v>399.09500000000003</v>
      </c>
      <c r="BN55">
        <v>57.670999999999999</v>
      </c>
      <c r="BO55">
        <v>349.20800000000003</v>
      </c>
      <c r="BP55">
        <v>748.303</v>
      </c>
      <c r="BQ55">
        <v>948.60699999999997</v>
      </c>
      <c r="BR55">
        <v>947.851</v>
      </c>
      <c r="BS55">
        <v>6141</v>
      </c>
      <c r="BT55">
        <v>947.851</v>
      </c>
      <c r="BU55">
        <v>997.73800000000006</v>
      </c>
      <c r="BV55">
        <v>3541.627</v>
      </c>
      <c r="BW55">
        <v>3492.0810000000001</v>
      </c>
      <c r="BX55">
        <v>446.33600000000001</v>
      </c>
      <c r="BY55">
        <v>2644.0050000000001</v>
      </c>
      <c r="BZ55">
        <v>4689.3670000000002</v>
      </c>
      <c r="CA55">
        <v>2.96</v>
      </c>
      <c r="CB55">
        <v>5</v>
      </c>
      <c r="CC55">
        <v>3</v>
      </c>
      <c r="CD55">
        <v>0</v>
      </c>
      <c r="CE55">
        <v>4</v>
      </c>
      <c r="CF55">
        <v>0</v>
      </c>
    </row>
    <row r="56" spans="1:84" x14ac:dyDescent="0.35">
      <c r="A56" t="s">
        <v>467</v>
      </c>
      <c r="B56" t="str">
        <f t="shared" si="4"/>
        <v xml:space="preserve"> el_ro_1992_05_28_005</v>
      </c>
      <c r="C56" s="1">
        <f t="shared" si="3"/>
        <v>45762</v>
      </c>
      <c r="D56" t="s">
        <v>78</v>
      </c>
      <c r="E56">
        <v>162.00299999999999</v>
      </c>
      <c r="F56">
        <v>159.20599999999999</v>
      </c>
      <c r="G56">
        <v>18.587</v>
      </c>
      <c r="H56">
        <v>150.36500000000001</v>
      </c>
      <c r="I56">
        <v>0.14822695035460992</v>
      </c>
      <c r="J56">
        <v>290.13200000000001</v>
      </c>
      <c r="K56">
        <v>0</v>
      </c>
      <c r="L56">
        <v>1.03</v>
      </c>
      <c r="M56">
        <v>-17.71</v>
      </c>
      <c r="N56">
        <v>907.37900000000002</v>
      </c>
      <c r="O56">
        <v>927.60699999999997</v>
      </c>
      <c r="P56">
        <v>70.099999999999994</v>
      </c>
      <c r="Q56">
        <v>502.45400000000001</v>
      </c>
      <c r="R56">
        <v>1120.8589999999999</v>
      </c>
      <c r="S56">
        <v>1243.6089999999999</v>
      </c>
      <c r="T56">
        <v>1236.81</v>
      </c>
      <c r="U56">
        <v>51.728000000000002</v>
      </c>
      <c r="V56">
        <v>1120.8589999999999</v>
      </c>
      <c r="W56">
        <v>1507.3620000000001</v>
      </c>
      <c r="X56">
        <v>2842.587</v>
      </c>
      <c r="Y56">
        <v>2821.4720000000002</v>
      </c>
      <c r="Z56">
        <v>110.38500000000001</v>
      </c>
      <c r="AA56">
        <v>2628.221</v>
      </c>
      <c r="AB56">
        <v>3439.877</v>
      </c>
      <c r="AC56">
        <v>2.82</v>
      </c>
      <c r="AD56">
        <v>165.91</v>
      </c>
      <c r="AE56">
        <v>164.64</v>
      </c>
      <c r="AF56">
        <v>9.4290000000000003</v>
      </c>
      <c r="AG56">
        <v>150.07300000000001</v>
      </c>
      <c r="AH56">
        <v>0.98560135516657266</v>
      </c>
      <c r="AI56">
        <v>254.91300000000001</v>
      </c>
      <c r="AJ56">
        <v>1.1293054771315642E-2</v>
      </c>
      <c r="AK56">
        <v>0.86299999999999999</v>
      </c>
      <c r="AL56">
        <v>-26.664000000000001</v>
      </c>
      <c r="AM56">
        <v>316.93200000000002</v>
      </c>
      <c r="AN56">
        <v>317.55200000000002</v>
      </c>
      <c r="AO56">
        <v>4942</v>
      </c>
      <c r="AP56">
        <v>277.858</v>
      </c>
      <c r="AQ56">
        <v>317.55200000000002</v>
      </c>
      <c r="AR56">
        <v>2288.357</v>
      </c>
      <c r="AS56">
        <v>2381.6379999999999</v>
      </c>
      <c r="AT56">
        <v>259.52100000000002</v>
      </c>
      <c r="AU56">
        <v>1428.9829999999999</v>
      </c>
      <c r="AV56">
        <v>2540.4140000000002</v>
      </c>
      <c r="AW56">
        <v>3753.5070000000001</v>
      </c>
      <c r="AX56">
        <v>3770.9270000000001</v>
      </c>
      <c r="AY56">
        <v>205.541</v>
      </c>
      <c r="AZ56">
        <v>2977.0479999999998</v>
      </c>
      <c r="BA56">
        <v>4167.8670000000002</v>
      </c>
      <c r="BB56">
        <v>3.5419999999999998</v>
      </c>
      <c r="BC56">
        <v>165.81800000000001</v>
      </c>
      <c r="BD56">
        <v>164.29</v>
      </c>
      <c r="BE56">
        <v>5.7610000000000001</v>
      </c>
      <c r="BF56">
        <v>160.614</v>
      </c>
      <c r="BG56">
        <v>0.32243487506645402</v>
      </c>
      <c r="BH56">
        <v>200.45500000000001</v>
      </c>
      <c r="BI56">
        <v>1.7278043593833069E-2</v>
      </c>
      <c r="BJ56">
        <v>0.71099999999999997</v>
      </c>
      <c r="BK56">
        <v>-27.754000000000001</v>
      </c>
      <c r="BL56">
        <v>353.178</v>
      </c>
      <c r="BM56">
        <v>355.327</v>
      </c>
      <c r="BN56">
        <v>8987</v>
      </c>
      <c r="BO56">
        <v>315.846</v>
      </c>
      <c r="BP56">
        <v>355.327</v>
      </c>
      <c r="BQ56">
        <v>966.46699999999998</v>
      </c>
      <c r="BR56">
        <v>947.53800000000001</v>
      </c>
      <c r="BS56">
        <v>33.622999999999998</v>
      </c>
      <c r="BT56">
        <v>947.53800000000001</v>
      </c>
      <c r="BU56">
        <v>1184.423</v>
      </c>
      <c r="BV56">
        <v>3826.41</v>
      </c>
      <c r="BW56">
        <v>3829.6329999999998</v>
      </c>
      <c r="BX56">
        <v>260.72199999999998</v>
      </c>
      <c r="BY56">
        <v>3237.422</v>
      </c>
      <c r="BZ56">
        <v>4500.8059999999996</v>
      </c>
      <c r="CA56">
        <v>3.762</v>
      </c>
      <c r="CB56">
        <v>5</v>
      </c>
      <c r="CC56">
        <v>1</v>
      </c>
      <c r="CD56">
        <v>0</v>
      </c>
      <c r="CE56">
        <v>1</v>
      </c>
      <c r="CF56">
        <v>3</v>
      </c>
    </row>
    <row r="57" spans="1:84" x14ac:dyDescent="0.35">
      <c r="A57" t="s">
        <v>468</v>
      </c>
      <c r="B57" t="str">
        <f t="shared" si="4"/>
        <v xml:space="preserve"> el_sa_2005_06_30_005</v>
      </c>
      <c r="C57" s="1">
        <f t="shared" si="3"/>
        <v>45762</v>
      </c>
      <c r="D57" t="s">
        <v>78</v>
      </c>
      <c r="E57">
        <v>240.66300000000001</v>
      </c>
      <c r="F57">
        <v>240.79599999999999</v>
      </c>
      <c r="G57">
        <v>1.5449999999999999</v>
      </c>
      <c r="H57">
        <v>235.11</v>
      </c>
      <c r="I57">
        <v>0.99115044247787631</v>
      </c>
      <c r="J57">
        <v>243.839</v>
      </c>
      <c r="K57">
        <v>0.96061946902654871</v>
      </c>
      <c r="L57">
        <v>0.309</v>
      </c>
      <c r="M57">
        <v>-30.611999999999998</v>
      </c>
      <c r="N57">
        <v>568.53800000000001</v>
      </c>
      <c r="O57">
        <v>585.65700000000004</v>
      </c>
      <c r="P57">
        <v>40.237000000000002</v>
      </c>
      <c r="Q57">
        <v>468.52600000000001</v>
      </c>
      <c r="R57">
        <v>644.22299999999996</v>
      </c>
      <c r="S57">
        <v>1062.412</v>
      </c>
      <c r="T57">
        <v>1054.183</v>
      </c>
      <c r="U57">
        <v>34.899000000000001</v>
      </c>
      <c r="V57">
        <v>995.61800000000005</v>
      </c>
      <c r="W57">
        <v>1171.3150000000001</v>
      </c>
      <c r="X57">
        <v>2556.1689999999999</v>
      </c>
      <c r="Y57">
        <v>2518.3270000000002</v>
      </c>
      <c r="Z57">
        <v>146.548</v>
      </c>
      <c r="AA57">
        <v>2284.0639999999999</v>
      </c>
      <c r="AB57">
        <v>2986.8530000000001</v>
      </c>
      <c r="AC57">
        <v>2.2599999999999998</v>
      </c>
      <c r="AD57">
        <v>239.97</v>
      </c>
      <c r="AE57">
        <v>239.67400000000001</v>
      </c>
      <c r="AF57">
        <v>4.181</v>
      </c>
      <c r="AG57">
        <v>233.15700000000001</v>
      </c>
      <c r="AH57">
        <v>1.651785714285714E-2</v>
      </c>
      <c r="AI57">
        <v>267.96899999999999</v>
      </c>
      <c r="AJ57">
        <v>0.99241071428571415</v>
      </c>
      <c r="AK57">
        <v>0.30399999999999999</v>
      </c>
      <c r="AL57">
        <v>-31.646999999999998</v>
      </c>
      <c r="AM57">
        <v>297.82299999999998</v>
      </c>
      <c r="AN57">
        <v>292.82900000000001</v>
      </c>
      <c r="AO57">
        <v>22</v>
      </c>
      <c r="AP57">
        <v>234.26300000000001</v>
      </c>
      <c r="AQ57">
        <v>351.39400000000001</v>
      </c>
      <c r="AR57">
        <v>1654.482</v>
      </c>
      <c r="AS57">
        <v>1639.8409999999999</v>
      </c>
      <c r="AT57">
        <v>314.93299999999999</v>
      </c>
      <c r="AU57">
        <v>1288.4459999999999</v>
      </c>
      <c r="AV57">
        <v>2049.8009999999999</v>
      </c>
      <c r="AW57">
        <v>3463.4879999999998</v>
      </c>
      <c r="AX57">
        <v>3455.3780000000002</v>
      </c>
      <c r="AY57">
        <v>137.15600000000001</v>
      </c>
      <c r="AZ57">
        <v>2518.3270000000002</v>
      </c>
      <c r="BA57">
        <v>3689.6410000000001</v>
      </c>
      <c r="BB57">
        <v>2.2400000000000002</v>
      </c>
      <c r="BC57">
        <v>246.36600000000001</v>
      </c>
      <c r="BD57">
        <v>247.15799999999999</v>
      </c>
      <c r="BE57">
        <v>3.0379999999999998</v>
      </c>
      <c r="BF57">
        <v>228.49700000000001</v>
      </c>
      <c r="BG57">
        <v>0</v>
      </c>
      <c r="BH57">
        <v>254.07400000000001</v>
      </c>
      <c r="BI57">
        <v>0.98465909090909098</v>
      </c>
      <c r="BJ57">
        <v>0.40600000000000003</v>
      </c>
      <c r="BK57">
        <v>-33.228000000000002</v>
      </c>
      <c r="BL57">
        <v>414.80799999999999</v>
      </c>
      <c r="BM57">
        <v>420</v>
      </c>
      <c r="BN57">
        <v>20.667999999999999</v>
      </c>
      <c r="BO57">
        <v>360</v>
      </c>
      <c r="BP57">
        <v>480</v>
      </c>
      <c r="BQ57">
        <v>962.14300000000003</v>
      </c>
      <c r="BR57">
        <v>960</v>
      </c>
      <c r="BS57">
        <v>19.64</v>
      </c>
      <c r="BT57">
        <v>960</v>
      </c>
      <c r="BU57">
        <v>1140</v>
      </c>
      <c r="BV57">
        <v>3385.3850000000002</v>
      </c>
      <c r="BW57">
        <v>3360</v>
      </c>
      <c r="BX57">
        <v>233.90700000000001</v>
      </c>
      <c r="BY57">
        <v>2880</v>
      </c>
      <c r="BZ57">
        <v>4320</v>
      </c>
      <c r="CA57">
        <v>1.76</v>
      </c>
      <c r="CB57">
        <v>6</v>
      </c>
      <c r="CC57">
        <v>2</v>
      </c>
      <c r="CD57">
        <v>1</v>
      </c>
      <c r="CE57">
        <v>2</v>
      </c>
      <c r="CF57">
        <v>5</v>
      </c>
    </row>
    <row r="58" spans="1:84" x14ac:dyDescent="0.35">
      <c r="A58" t="s">
        <v>412</v>
      </c>
      <c r="B58" t="str">
        <f>_xlfn.TEXTBEFORE(_xlfn.TEXTAFTER(A58,"-"),"_ONLY_VOWELS")</f>
        <v xml:space="preserve"> el_sp_2000_08_09_356</v>
      </c>
      <c r="C58" s="1">
        <f t="shared" si="3"/>
        <v>45790</v>
      </c>
      <c r="D58" t="s">
        <v>78</v>
      </c>
      <c r="E58">
        <v>132.14699999999999</v>
      </c>
      <c r="F58">
        <v>132.09200000000001</v>
      </c>
      <c r="G58">
        <v>2.35</v>
      </c>
      <c r="H58">
        <v>126.465</v>
      </c>
      <c r="I58">
        <v>0.98936781609195401</v>
      </c>
      <c r="J58">
        <v>141.541</v>
      </c>
      <c r="K58">
        <v>0</v>
      </c>
      <c r="L58">
        <v>0.60599999999999998</v>
      </c>
      <c r="M58">
        <v>-24.725000000000001</v>
      </c>
      <c r="N58">
        <v>528.62</v>
      </c>
      <c r="O58">
        <v>528.33000000000004</v>
      </c>
      <c r="P58">
        <v>47.054000000000002</v>
      </c>
      <c r="Q58">
        <v>372.93900000000002</v>
      </c>
      <c r="R58">
        <v>652.64300000000003</v>
      </c>
      <c r="S58">
        <v>1230.6400000000001</v>
      </c>
      <c r="T58">
        <v>1243.1289999999999</v>
      </c>
      <c r="U58">
        <v>39.555999999999997</v>
      </c>
      <c r="V58">
        <v>1149.894</v>
      </c>
      <c r="W58">
        <v>1460.6769999999999</v>
      </c>
      <c r="X58">
        <v>3127.2829999999999</v>
      </c>
      <c r="Y58">
        <v>3138.9009999999998</v>
      </c>
      <c r="Z58">
        <v>187.858</v>
      </c>
      <c r="AA58">
        <v>2672.7269999999999</v>
      </c>
      <c r="AB58">
        <v>3605.0740000000001</v>
      </c>
      <c r="AC58">
        <v>3.48</v>
      </c>
      <c r="AD58">
        <v>132.46899999999999</v>
      </c>
      <c r="AE58">
        <v>131.726</v>
      </c>
      <c r="AF58">
        <v>2.6850000000000001</v>
      </c>
      <c r="AG58">
        <v>128.411</v>
      </c>
      <c r="AH58">
        <v>0.59295774647887323</v>
      </c>
      <c r="AI58">
        <v>145.339</v>
      </c>
      <c r="AJ58">
        <v>0</v>
      </c>
      <c r="AK58">
        <v>0.56399999999999995</v>
      </c>
      <c r="AL58">
        <v>-26.407</v>
      </c>
      <c r="AM58">
        <v>342.84500000000003</v>
      </c>
      <c r="AN58">
        <v>343.55500000000001</v>
      </c>
      <c r="AO58">
        <v>12.507999999999999</v>
      </c>
      <c r="AP58">
        <v>312.32299999999998</v>
      </c>
      <c r="AQ58">
        <v>374.78800000000001</v>
      </c>
      <c r="AR58">
        <v>2453.8789999999999</v>
      </c>
      <c r="AS58">
        <v>2436.1190000000001</v>
      </c>
      <c r="AT58">
        <v>46.432000000000002</v>
      </c>
      <c r="AU58">
        <v>2342.422</v>
      </c>
      <c r="AV58">
        <v>2529.8159999999998</v>
      </c>
      <c r="AW58">
        <v>3273.357</v>
      </c>
      <c r="AX58">
        <v>3279.3910000000001</v>
      </c>
      <c r="AY58">
        <v>84.691000000000003</v>
      </c>
      <c r="AZ58">
        <v>3091.9969999999998</v>
      </c>
      <c r="BA58">
        <v>3529.2489999999998</v>
      </c>
      <c r="BB58">
        <v>2.84</v>
      </c>
      <c r="BC58">
        <v>129.96199999999999</v>
      </c>
      <c r="BD58">
        <v>129.87</v>
      </c>
      <c r="BE58">
        <v>2.87</v>
      </c>
      <c r="BF58">
        <v>117.735</v>
      </c>
      <c r="BG58">
        <v>0.98881578947368409</v>
      </c>
      <c r="BH58">
        <v>134.92099999999999</v>
      </c>
      <c r="BI58">
        <v>6.5789473684210523E-3</v>
      </c>
      <c r="BJ58">
        <v>0.72399999999999998</v>
      </c>
      <c r="BK58">
        <v>-27.6</v>
      </c>
      <c r="BL58">
        <v>337.76400000000001</v>
      </c>
      <c r="BM58">
        <v>338.75700000000001</v>
      </c>
      <c r="BN58">
        <v>16.652999999999999</v>
      </c>
      <c r="BO58">
        <v>277.16500000000002</v>
      </c>
      <c r="BP58">
        <v>369.553</v>
      </c>
      <c r="BQ58">
        <v>1177.4369999999999</v>
      </c>
      <c r="BR58">
        <v>1139.4549999999999</v>
      </c>
      <c r="BS58">
        <v>113.133</v>
      </c>
      <c r="BT58">
        <v>1016.271</v>
      </c>
      <c r="BU58">
        <v>1478.212</v>
      </c>
      <c r="BV58">
        <v>3576.32</v>
      </c>
      <c r="BW58">
        <v>3572.346</v>
      </c>
      <c r="BX58">
        <v>187.77699999999999</v>
      </c>
      <c r="BY58">
        <v>2894.8319999999999</v>
      </c>
      <c r="BZ58">
        <v>4342.2489999999998</v>
      </c>
      <c r="CA58">
        <v>3.04</v>
      </c>
      <c r="CB58">
        <v>3</v>
      </c>
      <c r="CC58">
        <v>3</v>
      </c>
      <c r="CD58">
        <v>1</v>
      </c>
      <c r="CE58">
        <v>3</v>
      </c>
      <c r="CF58">
        <v>4</v>
      </c>
    </row>
    <row r="59" spans="1:84" x14ac:dyDescent="0.35">
      <c r="A59" t="s">
        <v>469</v>
      </c>
      <c r="B59" t="str">
        <f t="shared" ref="B59:B72" si="5">_xlfn.TEXTAFTER(A59,"-")</f>
        <v xml:space="preserve"> el_sp_2004_08_03_826</v>
      </c>
      <c r="C59" s="1">
        <f t="shared" si="3"/>
        <v>45762</v>
      </c>
      <c r="D59" t="s">
        <v>78</v>
      </c>
      <c r="E59">
        <v>298.59699999999998</v>
      </c>
      <c r="F59">
        <v>298.83800000000002</v>
      </c>
      <c r="G59">
        <v>1.849</v>
      </c>
      <c r="H59">
        <v>289.58699999999999</v>
      </c>
      <c r="I59">
        <v>2.4015748031496063E-2</v>
      </c>
      <c r="J59">
        <v>301.46499999999997</v>
      </c>
      <c r="K59">
        <v>0.58740157480314958</v>
      </c>
      <c r="L59">
        <v>0.26700000000000002</v>
      </c>
      <c r="M59">
        <v>-31.667999999999999</v>
      </c>
      <c r="N59">
        <v>544.13499999999999</v>
      </c>
      <c r="O59">
        <v>511.94</v>
      </c>
      <c r="P59">
        <v>54.423999999999999</v>
      </c>
      <c r="Q59">
        <v>365.67200000000003</v>
      </c>
      <c r="R59">
        <v>658.20899999999995</v>
      </c>
      <c r="S59">
        <v>1131.595</v>
      </c>
      <c r="T59">
        <v>1170.1489999999999</v>
      </c>
      <c r="U59">
        <v>41.829000000000001</v>
      </c>
      <c r="V59">
        <v>1023.881</v>
      </c>
      <c r="W59">
        <v>1170.1489999999999</v>
      </c>
      <c r="X59">
        <v>2598.6529999999998</v>
      </c>
      <c r="Y59">
        <v>2632.8359999999998</v>
      </c>
      <c r="Z59">
        <v>229.864</v>
      </c>
      <c r="AA59">
        <v>2194.0300000000002</v>
      </c>
      <c r="AB59">
        <v>3291.0450000000001</v>
      </c>
      <c r="AC59">
        <v>2.54</v>
      </c>
      <c r="AD59">
        <v>299.40699999999998</v>
      </c>
      <c r="AE59">
        <v>299.41800000000001</v>
      </c>
      <c r="AF59">
        <v>1.962</v>
      </c>
      <c r="AG59">
        <v>290.678</v>
      </c>
      <c r="AH59">
        <v>0.99755244755244765</v>
      </c>
      <c r="AI59">
        <v>311.81799999999998</v>
      </c>
      <c r="AJ59">
        <v>6.9930069930069939E-3</v>
      </c>
      <c r="AK59">
        <v>0.25900000000000001</v>
      </c>
      <c r="AL59">
        <v>-31.916</v>
      </c>
      <c r="AM59">
        <v>294.92200000000003</v>
      </c>
      <c r="AN59">
        <v>293.51100000000002</v>
      </c>
      <c r="AO59">
        <v>12.412000000000001</v>
      </c>
      <c r="AP59">
        <v>293.51100000000002</v>
      </c>
      <c r="AQ59">
        <v>440.26600000000002</v>
      </c>
      <c r="AR59">
        <v>1786.9839999999999</v>
      </c>
      <c r="AS59">
        <v>1834.443</v>
      </c>
      <c r="AT59">
        <v>153.386</v>
      </c>
      <c r="AU59">
        <v>1247.421</v>
      </c>
      <c r="AV59">
        <v>2127.953</v>
      </c>
      <c r="AW59">
        <v>3533.7710000000002</v>
      </c>
      <c r="AX59">
        <v>3522.13</v>
      </c>
      <c r="AY59">
        <v>167.27799999999999</v>
      </c>
      <c r="AZ59">
        <v>3228.6190000000001</v>
      </c>
      <c r="BA59">
        <v>4109.1509999999998</v>
      </c>
      <c r="BB59">
        <v>2.86</v>
      </c>
      <c r="BC59">
        <v>298.42399999999998</v>
      </c>
      <c r="BD59">
        <v>298.26100000000002</v>
      </c>
      <c r="BE59">
        <v>2.319</v>
      </c>
      <c r="BF59">
        <v>292.053</v>
      </c>
      <c r="BG59">
        <v>0</v>
      </c>
      <c r="BH59">
        <v>315.64400000000001</v>
      </c>
      <c r="BI59">
        <v>6.363636363636363E-3</v>
      </c>
      <c r="BJ59">
        <v>0.30199999999999999</v>
      </c>
      <c r="BK59">
        <v>-31.289000000000001</v>
      </c>
      <c r="BL59">
        <v>322.971</v>
      </c>
      <c r="BM59">
        <v>293.02300000000002</v>
      </c>
      <c r="BN59">
        <v>43.777999999999999</v>
      </c>
      <c r="BO59">
        <v>293.02300000000002</v>
      </c>
      <c r="BP59">
        <v>586.04700000000003</v>
      </c>
      <c r="BQ59">
        <v>976.74400000000003</v>
      </c>
      <c r="BR59">
        <v>952.32600000000002</v>
      </c>
      <c r="BS59">
        <v>111.9</v>
      </c>
      <c r="BT59">
        <v>879.07</v>
      </c>
      <c r="BU59">
        <v>1098.837</v>
      </c>
      <c r="BV59">
        <v>4076.0639999999999</v>
      </c>
      <c r="BW59">
        <v>4102.326</v>
      </c>
      <c r="BX59">
        <v>312.89800000000002</v>
      </c>
      <c r="BY59">
        <v>3076.7440000000001</v>
      </c>
      <c r="BZ59">
        <v>4688.3720000000003</v>
      </c>
      <c r="CA59">
        <v>2.2000000000000002</v>
      </c>
      <c r="CB59">
        <v>7</v>
      </c>
      <c r="CC59">
        <v>4</v>
      </c>
      <c r="CD59">
        <v>0</v>
      </c>
      <c r="CE59">
        <v>4</v>
      </c>
      <c r="CF59">
        <v>4</v>
      </c>
    </row>
    <row r="60" spans="1:84" x14ac:dyDescent="0.35">
      <c r="A60" t="s">
        <v>470</v>
      </c>
      <c r="B60" t="str">
        <f t="shared" si="5"/>
        <v xml:space="preserve"> em_di_2000_04_26_182</v>
      </c>
      <c r="C60" s="1">
        <f t="shared" si="3"/>
        <v>45762</v>
      </c>
      <c r="D60" t="s">
        <v>78</v>
      </c>
      <c r="E60">
        <v>174.887</v>
      </c>
      <c r="F60">
        <v>174.11199999999999</v>
      </c>
      <c r="G60">
        <v>2.9140000000000001</v>
      </c>
      <c r="H60">
        <v>170.64699999999999</v>
      </c>
      <c r="I60">
        <v>0.97281553398058251</v>
      </c>
      <c r="J60">
        <v>183.53200000000001</v>
      </c>
      <c r="K60">
        <v>9.3689320388349512E-2</v>
      </c>
      <c r="L60">
        <v>0.52200000000000002</v>
      </c>
      <c r="M60">
        <v>-22.713999999999999</v>
      </c>
      <c r="N60">
        <v>875.88499999999999</v>
      </c>
      <c r="O60">
        <v>880.32299999999998</v>
      </c>
      <c r="P60">
        <v>30.356000000000002</v>
      </c>
      <c r="Q60">
        <v>838.40300000000002</v>
      </c>
      <c r="R60">
        <v>922.24300000000005</v>
      </c>
      <c r="S60">
        <v>1059.6199999999999</v>
      </c>
      <c r="T60">
        <v>1048.0039999999999</v>
      </c>
      <c r="U60">
        <v>21.024999999999999</v>
      </c>
      <c r="V60">
        <v>1006.0839999999999</v>
      </c>
      <c r="W60">
        <v>1089.924</v>
      </c>
      <c r="X60">
        <v>2308.0740000000001</v>
      </c>
      <c r="Y60">
        <v>2305.6080000000002</v>
      </c>
      <c r="Z60">
        <v>74.415999999999997</v>
      </c>
      <c r="AA60">
        <v>2137.9279999999999</v>
      </c>
      <c r="AB60">
        <v>2431.3690000000001</v>
      </c>
      <c r="AC60">
        <v>2.06</v>
      </c>
      <c r="AD60">
        <v>184.767</v>
      </c>
      <c r="AE60">
        <v>182.017</v>
      </c>
      <c r="AF60">
        <v>12.212</v>
      </c>
      <c r="AG60">
        <v>174.60400000000001</v>
      </c>
      <c r="AH60">
        <v>0.98647058823529421</v>
      </c>
      <c r="AI60">
        <v>260.947</v>
      </c>
      <c r="AJ60">
        <v>0</v>
      </c>
      <c r="AK60">
        <v>0.76400000000000001</v>
      </c>
      <c r="AL60">
        <v>-29.513000000000002</v>
      </c>
      <c r="AM60">
        <v>353.75</v>
      </c>
      <c r="AN60">
        <v>353.15300000000002</v>
      </c>
      <c r="AO60">
        <v>5132</v>
      </c>
      <c r="AP60">
        <v>353.15300000000002</v>
      </c>
      <c r="AQ60">
        <v>397.29700000000003</v>
      </c>
      <c r="AR60">
        <v>2062.2469999999998</v>
      </c>
      <c r="AS60">
        <v>2074.7750000000001</v>
      </c>
      <c r="AT60">
        <v>149.83699999999999</v>
      </c>
      <c r="AU60">
        <v>1721.6220000000001</v>
      </c>
      <c r="AV60">
        <v>2295.4949999999999</v>
      </c>
      <c r="AW60">
        <v>2500.7060000000001</v>
      </c>
      <c r="AX60">
        <v>2472.0720000000001</v>
      </c>
      <c r="AY60">
        <v>102.408</v>
      </c>
      <c r="AZ60">
        <v>2383.7840000000001</v>
      </c>
      <c r="BA60">
        <v>2736.9369999999999</v>
      </c>
      <c r="BB60">
        <v>1.7</v>
      </c>
      <c r="BC60">
        <v>177.40899999999999</v>
      </c>
      <c r="BD60">
        <v>177.72</v>
      </c>
      <c r="BE60">
        <v>2.5840000000000001</v>
      </c>
      <c r="BF60">
        <v>172.07400000000001</v>
      </c>
      <c r="BG60">
        <v>0.99823529411764711</v>
      </c>
      <c r="BH60">
        <v>187.43199999999999</v>
      </c>
      <c r="BI60">
        <v>2.5882352941176471E-2</v>
      </c>
      <c r="BJ60">
        <v>0.44400000000000001</v>
      </c>
      <c r="BK60">
        <v>-30.86</v>
      </c>
      <c r="BL60">
        <v>341.88799999999998</v>
      </c>
      <c r="BM60">
        <v>338.90499999999997</v>
      </c>
      <c r="BN60">
        <v>10.916</v>
      </c>
      <c r="BO60">
        <v>338.90499999999997</v>
      </c>
      <c r="BP60">
        <v>381.26799999999997</v>
      </c>
      <c r="BQ60">
        <v>1074.356</v>
      </c>
      <c r="BR60">
        <v>1101.441</v>
      </c>
      <c r="BS60">
        <v>45.779000000000003</v>
      </c>
      <c r="BT60">
        <v>974.35199999999998</v>
      </c>
      <c r="BU60">
        <v>1228.53</v>
      </c>
      <c r="BV60">
        <v>2392.6210000000001</v>
      </c>
      <c r="BW60">
        <v>2372.3339999999998</v>
      </c>
      <c r="BX60">
        <v>140.477</v>
      </c>
      <c r="BY60">
        <v>2202.8820000000001</v>
      </c>
      <c r="BZ60">
        <v>2880.692</v>
      </c>
      <c r="CA60">
        <v>1.7</v>
      </c>
      <c r="CB60">
        <v>5</v>
      </c>
      <c r="CC60">
        <v>1</v>
      </c>
      <c r="CD60">
        <v>0</v>
      </c>
      <c r="CE60">
        <v>2</v>
      </c>
      <c r="CF60">
        <v>1</v>
      </c>
    </row>
    <row r="61" spans="1:84" x14ac:dyDescent="0.35">
      <c r="A61" t="s">
        <v>471</v>
      </c>
      <c r="B61" t="str">
        <f t="shared" si="5"/>
        <v xml:space="preserve"> ev_tu_2004_10_06_265</v>
      </c>
      <c r="C61" s="1">
        <f t="shared" si="3"/>
        <v>45762</v>
      </c>
      <c r="D61" t="s">
        <v>78</v>
      </c>
      <c r="E61">
        <v>180.93899999999999</v>
      </c>
      <c r="F61">
        <v>180.315</v>
      </c>
      <c r="G61">
        <v>8.1120000000000001</v>
      </c>
      <c r="H61">
        <v>165.16900000000001</v>
      </c>
      <c r="I61">
        <v>1.0550458715596329E-2</v>
      </c>
      <c r="J61">
        <v>254.07400000000001</v>
      </c>
      <c r="K61">
        <v>0</v>
      </c>
      <c r="L61">
        <v>0.86599999999999999</v>
      </c>
      <c r="M61">
        <v>-23.082999999999998</v>
      </c>
      <c r="N61">
        <v>896.63099999999997</v>
      </c>
      <c r="O61">
        <v>910.61900000000003</v>
      </c>
      <c r="P61">
        <v>49.59</v>
      </c>
      <c r="Q61">
        <v>693.80499999999995</v>
      </c>
      <c r="R61">
        <v>997.34500000000003</v>
      </c>
      <c r="S61">
        <v>1173.153</v>
      </c>
      <c r="T61">
        <v>1170.796</v>
      </c>
      <c r="U61">
        <v>53.54</v>
      </c>
      <c r="V61">
        <v>1127.434</v>
      </c>
      <c r="W61">
        <v>1604.425</v>
      </c>
      <c r="X61">
        <v>2266.5239999999999</v>
      </c>
      <c r="Y61">
        <v>2254.8670000000002</v>
      </c>
      <c r="Z61">
        <v>159.471</v>
      </c>
      <c r="AA61">
        <v>2038.0530000000001</v>
      </c>
      <c r="AB61">
        <v>3035.3980000000001</v>
      </c>
      <c r="AC61">
        <v>2.1800000000000002</v>
      </c>
      <c r="AD61">
        <v>188.197</v>
      </c>
      <c r="AE61">
        <v>188.34700000000001</v>
      </c>
      <c r="AF61">
        <v>3.625</v>
      </c>
      <c r="AG61">
        <v>171.595</v>
      </c>
      <c r="AH61">
        <v>0.98563829787234047</v>
      </c>
      <c r="AI61">
        <v>199.03299999999999</v>
      </c>
      <c r="AJ61">
        <v>0.91329787234042559</v>
      </c>
      <c r="AK61">
        <v>0.69</v>
      </c>
      <c r="AL61">
        <v>-28.414999999999999</v>
      </c>
      <c r="AM61">
        <v>373.29300000000001</v>
      </c>
      <c r="AN61">
        <v>358.53699999999998</v>
      </c>
      <c r="AO61">
        <v>21.190999999999999</v>
      </c>
      <c r="AP61">
        <v>358.53699999999998</v>
      </c>
      <c r="AQ61">
        <v>403.35399999999998</v>
      </c>
      <c r="AR61">
        <v>2403.9229999999998</v>
      </c>
      <c r="AS61">
        <v>2420.1219999999998</v>
      </c>
      <c r="AT61">
        <v>106.282</v>
      </c>
      <c r="AU61">
        <v>1523.78</v>
      </c>
      <c r="AV61">
        <v>2554.5729999999999</v>
      </c>
      <c r="AW61">
        <v>3118.8359999999998</v>
      </c>
      <c r="AX61">
        <v>3092.3780000000002</v>
      </c>
      <c r="AY61">
        <v>101.196</v>
      </c>
      <c r="AZ61">
        <v>2913.11</v>
      </c>
      <c r="BA61">
        <v>3406.098</v>
      </c>
      <c r="BB61">
        <v>1.88</v>
      </c>
      <c r="BC61">
        <v>186.76599999999999</v>
      </c>
      <c r="BD61">
        <v>185.964</v>
      </c>
      <c r="BE61">
        <v>2.8540000000000001</v>
      </c>
      <c r="BF61">
        <v>183.64099999999999</v>
      </c>
      <c r="BG61">
        <v>0.95988372093023255</v>
      </c>
      <c r="BH61">
        <v>203.226</v>
      </c>
      <c r="BI61">
        <v>0</v>
      </c>
      <c r="BJ61">
        <v>0.44500000000000001</v>
      </c>
      <c r="BK61">
        <v>-30.535</v>
      </c>
      <c r="BL61">
        <v>402.75599999999997</v>
      </c>
      <c r="BM61">
        <v>403.35399999999998</v>
      </c>
      <c r="BN61">
        <v>11.634</v>
      </c>
      <c r="BO61">
        <v>358.53699999999998</v>
      </c>
      <c r="BP61">
        <v>448.17099999999999</v>
      </c>
      <c r="BQ61">
        <v>1023.323</v>
      </c>
      <c r="BR61">
        <v>985.976</v>
      </c>
      <c r="BS61">
        <v>134.23099999999999</v>
      </c>
      <c r="BT61">
        <v>941.15899999999999</v>
      </c>
      <c r="BU61">
        <v>1523.78</v>
      </c>
      <c r="BV61">
        <v>3000.9749999999999</v>
      </c>
      <c r="BW61">
        <v>3002.7440000000001</v>
      </c>
      <c r="BX61">
        <v>111.339</v>
      </c>
      <c r="BY61">
        <v>2599.39</v>
      </c>
      <c r="BZ61">
        <v>3182.0120000000002</v>
      </c>
      <c r="CA61">
        <v>1.72</v>
      </c>
      <c r="CB61">
        <v>8</v>
      </c>
      <c r="CC61">
        <v>3</v>
      </c>
      <c r="CD61">
        <v>0</v>
      </c>
      <c r="CE61">
        <v>5</v>
      </c>
      <c r="CF61">
        <v>4</v>
      </c>
    </row>
    <row r="62" spans="1:84" x14ac:dyDescent="0.35">
      <c r="A62" t="s">
        <v>472</v>
      </c>
      <c r="B62" t="str">
        <f t="shared" si="5"/>
        <v xml:space="preserve"> fa_ca_2001_08_09_201</v>
      </c>
      <c r="C62" s="1">
        <f t="shared" si="3"/>
        <v>45762</v>
      </c>
      <c r="D62" t="s">
        <v>78</v>
      </c>
      <c r="E62">
        <v>139.61699999999999</v>
      </c>
      <c r="F62">
        <v>140.38200000000001</v>
      </c>
      <c r="G62">
        <v>2.6850000000000001</v>
      </c>
      <c r="H62">
        <v>133.86799999999999</v>
      </c>
      <c r="I62">
        <v>0.9375</v>
      </c>
      <c r="J62">
        <v>143.315</v>
      </c>
      <c r="K62">
        <v>6.25E-2</v>
      </c>
      <c r="L62">
        <v>1.276</v>
      </c>
      <c r="M62">
        <v>-21.198</v>
      </c>
      <c r="N62">
        <v>642.75300000000004</v>
      </c>
      <c r="O62">
        <v>607.04499999999996</v>
      </c>
      <c r="P62">
        <v>95.222999999999999</v>
      </c>
      <c r="Q62">
        <v>535.62800000000004</v>
      </c>
      <c r="R62">
        <v>857.00400000000002</v>
      </c>
      <c r="S62">
        <v>1114.105</v>
      </c>
      <c r="T62">
        <v>1106.9639999999999</v>
      </c>
      <c r="U62">
        <v>60.223999999999997</v>
      </c>
      <c r="V62">
        <v>1035.547</v>
      </c>
      <c r="W62">
        <v>1249.798</v>
      </c>
      <c r="X62">
        <v>2656.7130000000002</v>
      </c>
      <c r="Y62">
        <v>2660.2829999999999</v>
      </c>
      <c r="Z62">
        <v>167.65700000000001</v>
      </c>
      <c r="AA62">
        <v>2463.8870000000002</v>
      </c>
      <c r="AB62">
        <v>2892.3890000000001</v>
      </c>
      <c r="AC62">
        <v>0.32</v>
      </c>
      <c r="AD62">
        <v>144.762</v>
      </c>
      <c r="AE62">
        <v>142.32400000000001</v>
      </c>
      <c r="AF62">
        <v>10.093</v>
      </c>
      <c r="AG62">
        <v>136.774</v>
      </c>
      <c r="AH62">
        <v>0.66</v>
      </c>
      <c r="AI62">
        <v>170.27</v>
      </c>
      <c r="AJ62">
        <v>0</v>
      </c>
      <c r="AK62">
        <v>3.3159999999999998</v>
      </c>
      <c r="AL62">
        <v>-16.605</v>
      </c>
      <c r="AM62">
        <v>329.44400000000002</v>
      </c>
      <c r="AN62">
        <v>340.80399999999997</v>
      </c>
      <c r="AO62">
        <v>24.097999999999999</v>
      </c>
      <c r="AP62">
        <v>306.72300000000001</v>
      </c>
      <c r="AQ62">
        <v>374.88400000000001</v>
      </c>
      <c r="AR62">
        <v>2325.9850000000001</v>
      </c>
      <c r="AS62">
        <v>2334.5050000000001</v>
      </c>
      <c r="AT62">
        <v>78.881</v>
      </c>
      <c r="AU62">
        <v>2147.0630000000001</v>
      </c>
      <c r="AV62">
        <v>2385.6260000000002</v>
      </c>
      <c r="AW62">
        <v>3071.02</v>
      </c>
      <c r="AX62">
        <v>3067.2330000000002</v>
      </c>
      <c r="AY62">
        <v>155.65899999999999</v>
      </c>
      <c r="AZ62">
        <v>2726.43</v>
      </c>
      <c r="BA62">
        <v>3237.6350000000002</v>
      </c>
      <c r="BB62">
        <v>0.3</v>
      </c>
      <c r="BC62">
        <v>150.09800000000001</v>
      </c>
      <c r="BD62">
        <v>141.971</v>
      </c>
      <c r="BE62">
        <v>17.271999999999998</v>
      </c>
      <c r="BF62">
        <v>137.62799999999999</v>
      </c>
      <c r="BG62">
        <v>7.6923076923076927E-2</v>
      </c>
      <c r="BH62">
        <v>181.48099999999999</v>
      </c>
      <c r="BI62">
        <v>0.92307692307692302</v>
      </c>
      <c r="BJ62">
        <v>3.7930000000000001</v>
      </c>
      <c r="BK62">
        <v>-12.618</v>
      </c>
      <c r="BL62">
        <v>390.82900000000001</v>
      </c>
      <c r="BM62">
        <v>399.91800000000001</v>
      </c>
      <c r="BN62">
        <v>16.829999999999998</v>
      </c>
      <c r="BO62">
        <v>363.56099999999998</v>
      </c>
      <c r="BP62">
        <v>399.91800000000001</v>
      </c>
      <c r="BQ62">
        <v>1081.595</v>
      </c>
      <c r="BR62">
        <v>1017.972</v>
      </c>
      <c r="BS62">
        <v>111.211</v>
      </c>
      <c r="BT62">
        <v>1017.972</v>
      </c>
      <c r="BU62">
        <v>1308.8209999999999</v>
      </c>
      <c r="BV62">
        <v>3512.9119999999998</v>
      </c>
      <c r="BW62">
        <v>3544.7240000000002</v>
      </c>
      <c r="BX62">
        <v>238.749</v>
      </c>
      <c r="BY62">
        <v>3017.56</v>
      </c>
      <c r="BZ62">
        <v>3781.0390000000002</v>
      </c>
      <c r="CA62">
        <v>0.26</v>
      </c>
      <c r="CB62">
        <v>3</v>
      </c>
      <c r="CC62">
        <v>2</v>
      </c>
      <c r="CD62">
        <v>2</v>
      </c>
      <c r="CE62">
        <v>1</v>
      </c>
      <c r="CF62">
        <v>0</v>
      </c>
    </row>
    <row r="63" spans="1:84" x14ac:dyDescent="0.35">
      <c r="A63" t="s">
        <v>473</v>
      </c>
      <c r="B63" t="str">
        <f t="shared" si="5"/>
        <v xml:space="preserve"> fe_gi_1999_08_28_709</v>
      </c>
      <c r="C63" s="1">
        <f t="shared" si="3"/>
        <v>45762</v>
      </c>
      <c r="D63" t="s">
        <v>78</v>
      </c>
      <c r="E63">
        <v>157.904</v>
      </c>
      <c r="F63">
        <v>157.822</v>
      </c>
      <c r="G63">
        <v>1.7789999999999999</v>
      </c>
      <c r="H63">
        <v>151.32400000000001</v>
      </c>
      <c r="I63">
        <v>1</v>
      </c>
      <c r="J63">
        <v>163.767</v>
      </c>
      <c r="K63">
        <v>8.4745762711864406E-3</v>
      </c>
      <c r="L63">
        <v>0.42899999999999999</v>
      </c>
      <c r="M63">
        <v>-25.591999999999999</v>
      </c>
      <c r="N63">
        <v>715.35900000000004</v>
      </c>
      <c r="O63">
        <v>677.30399999999997</v>
      </c>
      <c r="P63">
        <v>78.12</v>
      </c>
      <c r="Q63">
        <v>602.048</v>
      </c>
      <c r="R63">
        <v>903.072</v>
      </c>
      <c r="S63">
        <v>1189.1300000000001</v>
      </c>
      <c r="T63">
        <v>1204.096</v>
      </c>
      <c r="U63">
        <v>28.832000000000001</v>
      </c>
      <c r="V63">
        <v>1128.8399999999999</v>
      </c>
      <c r="W63">
        <v>1241.7239999999999</v>
      </c>
      <c r="X63">
        <v>3363.8560000000002</v>
      </c>
      <c r="Y63">
        <v>3348.8910000000001</v>
      </c>
      <c r="Z63">
        <v>231.78200000000001</v>
      </c>
      <c r="AA63">
        <v>2822.0990000000002</v>
      </c>
      <c r="AB63">
        <v>3913.3110000000001</v>
      </c>
      <c r="AC63">
        <v>2.36</v>
      </c>
      <c r="AD63">
        <v>160.732</v>
      </c>
      <c r="AE63">
        <v>160.197</v>
      </c>
      <c r="AF63">
        <v>3.1160000000000001</v>
      </c>
      <c r="AG63">
        <v>153.429</v>
      </c>
      <c r="AH63">
        <v>0.13333333333333333</v>
      </c>
      <c r="AI63">
        <v>173.91499999999999</v>
      </c>
      <c r="AJ63">
        <v>9.4202898550724643E-3</v>
      </c>
      <c r="AK63">
        <v>0.65</v>
      </c>
      <c r="AL63">
        <v>-24.902999999999999</v>
      </c>
      <c r="AM63">
        <v>308.346</v>
      </c>
      <c r="AN63">
        <v>307.58499999999998</v>
      </c>
      <c r="AO63">
        <v>5383</v>
      </c>
      <c r="AP63">
        <v>307.58499999999998</v>
      </c>
      <c r="AQ63">
        <v>346.03300000000002</v>
      </c>
      <c r="AR63">
        <v>2399.076</v>
      </c>
      <c r="AS63">
        <v>2383.7840000000001</v>
      </c>
      <c r="AT63">
        <v>56.680999999999997</v>
      </c>
      <c r="AU63">
        <v>2229.991</v>
      </c>
      <c r="AV63">
        <v>2499.1280000000002</v>
      </c>
      <c r="AW63">
        <v>3710.7930000000001</v>
      </c>
      <c r="AX63">
        <v>3691.02</v>
      </c>
      <c r="AY63">
        <v>113.62</v>
      </c>
      <c r="AZ63">
        <v>3421.8829999999998</v>
      </c>
      <c r="BA63">
        <v>4037.0529999999999</v>
      </c>
      <c r="BB63">
        <v>2.76</v>
      </c>
      <c r="BC63">
        <v>166.40799999999999</v>
      </c>
      <c r="BD63">
        <v>163.37700000000001</v>
      </c>
      <c r="BE63">
        <v>20.873999999999999</v>
      </c>
      <c r="BF63">
        <v>153.506</v>
      </c>
      <c r="BG63">
        <v>0.97227272727272707</v>
      </c>
      <c r="BH63">
        <v>339.23099999999999</v>
      </c>
      <c r="BI63">
        <v>1.1363636363636364E-2</v>
      </c>
      <c r="BJ63">
        <v>1.353</v>
      </c>
      <c r="BK63">
        <v>-28.036999999999999</v>
      </c>
      <c r="BL63">
        <v>376.97</v>
      </c>
      <c r="BM63">
        <v>357.56799999999998</v>
      </c>
      <c r="BN63">
        <v>33.790999999999997</v>
      </c>
      <c r="BO63">
        <v>357.56799999999998</v>
      </c>
      <c r="BP63">
        <v>595.94600000000003</v>
      </c>
      <c r="BQ63">
        <v>1072.703</v>
      </c>
      <c r="BR63">
        <v>1032.973</v>
      </c>
      <c r="BS63">
        <v>101.846</v>
      </c>
      <c r="BT63">
        <v>1032.973</v>
      </c>
      <c r="BU63">
        <v>1430.27</v>
      </c>
      <c r="BV63">
        <v>3207.4830000000002</v>
      </c>
      <c r="BW63">
        <v>3178.3780000000002</v>
      </c>
      <c r="BX63">
        <v>168.49600000000001</v>
      </c>
      <c r="BY63">
        <v>2820.8110000000001</v>
      </c>
      <c r="BZ63">
        <v>3774.3240000000001</v>
      </c>
      <c r="CA63">
        <v>2.2000000000000002</v>
      </c>
      <c r="CB63">
        <v>5</v>
      </c>
      <c r="CC63">
        <v>3</v>
      </c>
      <c r="CD63">
        <v>1</v>
      </c>
      <c r="CE63">
        <v>5</v>
      </c>
      <c r="CF63">
        <v>0</v>
      </c>
    </row>
    <row r="64" spans="1:84" x14ac:dyDescent="0.35">
      <c r="A64" t="s">
        <v>474</v>
      </c>
      <c r="B64" t="str">
        <f t="shared" si="5"/>
        <v xml:space="preserve"> fr_ba_2001_12_15_595</v>
      </c>
      <c r="C64" s="1">
        <f t="shared" si="3"/>
        <v>45762</v>
      </c>
      <c r="D64" t="s">
        <v>78</v>
      </c>
      <c r="E64">
        <v>193.07300000000001</v>
      </c>
      <c r="F64">
        <v>193.24</v>
      </c>
      <c r="G64">
        <v>2.6539999999999999</v>
      </c>
      <c r="H64">
        <v>179.58099999999999</v>
      </c>
      <c r="I64">
        <v>0.98443396226415103</v>
      </c>
      <c r="J64">
        <v>206.07499999999999</v>
      </c>
      <c r="K64">
        <v>0</v>
      </c>
      <c r="L64">
        <v>0.442</v>
      </c>
      <c r="M64">
        <v>-24.657</v>
      </c>
      <c r="N64">
        <v>823.90499999999997</v>
      </c>
      <c r="O64">
        <v>827.73699999999997</v>
      </c>
      <c r="P64">
        <v>28.045000000000002</v>
      </c>
      <c r="Q64">
        <v>735.76599999999996</v>
      </c>
      <c r="R64">
        <v>873.72299999999996</v>
      </c>
      <c r="S64">
        <v>1199.453</v>
      </c>
      <c r="T64">
        <v>1195.6199999999999</v>
      </c>
      <c r="U64">
        <v>32.459000000000003</v>
      </c>
      <c r="V64">
        <v>1103.6500000000001</v>
      </c>
      <c r="W64">
        <v>1287.5909999999999</v>
      </c>
      <c r="X64">
        <v>2743.7959999999998</v>
      </c>
      <c r="Y64">
        <v>2759.1239999999998</v>
      </c>
      <c r="Z64">
        <v>146.131</v>
      </c>
      <c r="AA64">
        <v>2345.2550000000001</v>
      </c>
      <c r="AB64">
        <v>3035.0360000000001</v>
      </c>
      <c r="AC64">
        <v>2.12</v>
      </c>
      <c r="AD64">
        <v>206.10599999999999</v>
      </c>
      <c r="AE64">
        <v>205.11600000000001</v>
      </c>
      <c r="AF64">
        <v>8.6039999999999992</v>
      </c>
      <c r="AG64">
        <v>199.29</v>
      </c>
      <c r="AH64">
        <v>0.98362068965517246</v>
      </c>
      <c r="AI64">
        <v>271.02699999999999</v>
      </c>
      <c r="AJ64">
        <v>0</v>
      </c>
      <c r="AK64">
        <v>0.50700000000000001</v>
      </c>
      <c r="AL64">
        <v>-27.654</v>
      </c>
      <c r="AM64">
        <v>394.65</v>
      </c>
      <c r="AN64">
        <v>396.404</v>
      </c>
      <c r="AO64">
        <v>9197</v>
      </c>
      <c r="AP64">
        <v>346.85399999999998</v>
      </c>
      <c r="AQ64">
        <v>396.404</v>
      </c>
      <c r="AR64">
        <v>2513.5650000000001</v>
      </c>
      <c r="AS64">
        <v>2527.0790000000002</v>
      </c>
      <c r="AT64">
        <v>57.576000000000001</v>
      </c>
      <c r="AU64">
        <v>2378.4270000000001</v>
      </c>
      <c r="AV64">
        <v>2626.18</v>
      </c>
      <c r="AW64">
        <v>3552.7310000000002</v>
      </c>
      <c r="AX64">
        <v>3567.64</v>
      </c>
      <c r="AY64">
        <v>159.31299999999999</v>
      </c>
      <c r="AZ64">
        <v>3220.7869999999998</v>
      </c>
      <c r="BA64">
        <v>4063.1460000000002</v>
      </c>
      <c r="BB64">
        <v>2.3199999999999998</v>
      </c>
      <c r="BC64">
        <v>210.72200000000001</v>
      </c>
      <c r="BD64">
        <v>213.33799999999999</v>
      </c>
      <c r="BE64">
        <v>17.515000000000001</v>
      </c>
      <c r="BF64">
        <v>111.767</v>
      </c>
      <c r="BG64">
        <v>1.5983606557377048E-2</v>
      </c>
      <c r="BH64">
        <v>225</v>
      </c>
      <c r="BI64">
        <v>0.99918032786885258</v>
      </c>
      <c r="BJ64">
        <v>1.2030000000000001</v>
      </c>
      <c r="BK64">
        <v>-24.603999999999999</v>
      </c>
      <c r="BL64">
        <v>414.01299999999998</v>
      </c>
      <c r="BM64">
        <v>413.59899999999999</v>
      </c>
      <c r="BN64">
        <v>15.393000000000001</v>
      </c>
      <c r="BO64">
        <v>361.899</v>
      </c>
      <c r="BP64">
        <v>568.69899999999996</v>
      </c>
      <c r="BQ64">
        <v>1137.3969999999999</v>
      </c>
      <c r="BR64">
        <v>1033.998</v>
      </c>
      <c r="BS64">
        <v>242.494</v>
      </c>
      <c r="BT64">
        <v>982.298</v>
      </c>
      <c r="BU64">
        <v>1499.297</v>
      </c>
      <c r="BV64">
        <v>3541.6489999999999</v>
      </c>
      <c r="BW64">
        <v>3515.5920000000001</v>
      </c>
      <c r="BX64">
        <v>226.654</v>
      </c>
      <c r="BY64">
        <v>2843.4940000000001</v>
      </c>
      <c r="BZ64">
        <v>4497.8900000000003</v>
      </c>
      <c r="CA64">
        <v>2.44</v>
      </c>
      <c r="CB64">
        <v>1</v>
      </c>
      <c r="CC64">
        <v>1</v>
      </c>
      <c r="CD64">
        <v>0</v>
      </c>
      <c r="CE64">
        <v>1</v>
      </c>
      <c r="CF64">
        <v>0</v>
      </c>
    </row>
    <row r="65" spans="1:84" x14ac:dyDescent="0.35">
      <c r="A65" t="s">
        <v>475</v>
      </c>
      <c r="B65" t="str">
        <f t="shared" si="5"/>
        <v xml:space="preserve"> fr_di_2002_05_11_518</v>
      </c>
      <c r="C65" s="1">
        <f t="shared" si="3"/>
        <v>45762</v>
      </c>
      <c r="D65" t="s">
        <v>78</v>
      </c>
      <c r="E65">
        <v>193.47399999999999</v>
      </c>
      <c r="F65">
        <v>195.50299999999999</v>
      </c>
      <c r="G65">
        <v>17.890999999999998</v>
      </c>
      <c r="H65">
        <v>96.227999999999994</v>
      </c>
      <c r="I65">
        <v>0.81158536585365848</v>
      </c>
      <c r="J65">
        <v>294</v>
      </c>
      <c r="K65">
        <v>0</v>
      </c>
      <c r="L65">
        <v>2.496</v>
      </c>
      <c r="M65">
        <v>-18.292999999999999</v>
      </c>
      <c r="N65">
        <v>757.23599999999999</v>
      </c>
      <c r="O65">
        <v>748.25</v>
      </c>
      <c r="P65">
        <v>82.033000000000001</v>
      </c>
      <c r="Q65">
        <v>467.65600000000001</v>
      </c>
      <c r="R65">
        <v>982.07799999999997</v>
      </c>
      <c r="S65">
        <v>1118.6990000000001</v>
      </c>
      <c r="T65">
        <v>1075.6099999999999</v>
      </c>
      <c r="U65">
        <v>88.177999999999997</v>
      </c>
      <c r="V65">
        <v>982.07799999999997</v>
      </c>
      <c r="W65">
        <v>1309.4380000000001</v>
      </c>
      <c r="X65">
        <v>3036.4989999999998</v>
      </c>
      <c r="Y65">
        <v>2993.0010000000002</v>
      </c>
      <c r="Z65">
        <v>324.488</v>
      </c>
      <c r="AA65">
        <v>2431.8130000000001</v>
      </c>
      <c r="AB65">
        <v>4302.4390000000003</v>
      </c>
      <c r="AC65">
        <v>4.92</v>
      </c>
      <c r="AD65">
        <v>199.17599999999999</v>
      </c>
      <c r="AE65">
        <v>198.77699999999999</v>
      </c>
      <c r="AF65">
        <v>4.9710000000000001</v>
      </c>
      <c r="AG65">
        <v>192.45599999999999</v>
      </c>
      <c r="AH65">
        <v>0.86099137931034486</v>
      </c>
      <c r="AI65">
        <v>244.03200000000001</v>
      </c>
      <c r="AJ65">
        <v>0</v>
      </c>
      <c r="AK65">
        <v>0.39500000000000002</v>
      </c>
      <c r="AL65">
        <v>-26.913</v>
      </c>
      <c r="AM65">
        <v>328.52600000000001</v>
      </c>
      <c r="AN65">
        <v>336.27499999999998</v>
      </c>
      <c r="AO65">
        <v>23.33</v>
      </c>
      <c r="AP65">
        <v>288.23500000000001</v>
      </c>
      <c r="AQ65">
        <v>432.35300000000001</v>
      </c>
      <c r="AR65">
        <v>2065.1669999999999</v>
      </c>
      <c r="AS65">
        <v>2065.6860000000001</v>
      </c>
      <c r="AT65">
        <v>196.09700000000001</v>
      </c>
      <c r="AU65">
        <v>1585.2940000000001</v>
      </c>
      <c r="AV65">
        <v>2498.0390000000002</v>
      </c>
      <c r="AW65">
        <v>3674.8910000000001</v>
      </c>
      <c r="AX65">
        <v>3699.02</v>
      </c>
      <c r="AY65">
        <v>140.55199999999999</v>
      </c>
      <c r="AZ65">
        <v>3314.7060000000001</v>
      </c>
      <c r="BA65">
        <v>4083.3330000000001</v>
      </c>
      <c r="BB65">
        <v>4.6399999999999997</v>
      </c>
      <c r="BC65">
        <v>197.79599999999999</v>
      </c>
      <c r="BD65">
        <v>197.631</v>
      </c>
      <c r="BE65">
        <v>13.048</v>
      </c>
      <c r="BF65">
        <v>103.072</v>
      </c>
      <c r="BG65">
        <v>1.5609756097560977E-2</v>
      </c>
      <c r="BH65">
        <v>295.97300000000001</v>
      </c>
      <c r="BI65">
        <v>0</v>
      </c>
      <c r="BJ65">
        <v>1.5860000000000001</v>
      </c>
      <c r="BK65">
        <v>-29.536999999999999</v>
      </c>
      <c r="BL65">
        <v>331.57900000000001</v>
      </c>
      <c r="BM65">
        <v>331.57900000000001</v>
      </c>
      <c r="BN65">
        <v>6984</v>
      </c>
      <c r="BO65">
        <v>284.21100000000001</v>
      </c>
      <c r="BP65">
        <v>378.947</v>
      </c>
      <c r="BQ65">
        <v>1041.1849999999999</v>
      </c>
      <c r="BR65">
        <v>1042.105</v>
      </c>
      <c r="BS65">
        <v>101.676</v>
      </c>
      <c r="BT65">
        <v>947.36800000000005</v>
      </c>
      <c r="BU65">
        <v>1894.7370000000001</v>
      </c>
      <c r="BV65">
        <v>3585.5189999999998</v>
      </c>
      <c r="BW65">
        <v>3600</v>
      </c>
      <c r="BX65">
        <v>186.64500000000001</v>
      </c>
      <c r="BY65">
        <v>3221.0529999999999</v>
      </c>
      <c r="BZ65">
        <v>4026.3159999999998</v>
      </c>
      <c r="CA65">
        <v>4.0999999999999996</v>
      </c>
      <c r="CB65">
        <v>8</v>
      </c>
      <c r="CC65">
        <v>5</v>
      </c>
      <c r="CD65">
        <v>0</v>
      </c>
      <c r="CE65">
        <v>4</v>
      </c>
      <c r="CF65">
        <v>3</v>
      </c>
    </row>
    <row r="66" spans="1:84" x14ac:dyDescent="0.35">
      <c r="A66" t="s">
        <v>476</v>
      </c>
      <c r="B66" t="str">
        <f t="shared" si="5"/>
        <v xml:space="preserve"> fr_ga_1998_02_14_859</v>
      </c>
      <c r="C66" s="1">
        <f t="shared" ref="C66:C97" si="6">DATEVALUE(SUBSTITUTE(_xlfn.TEXTAFTER(_xlfn.TEXTBEFORE(A66," -"),"a2_"),"_","/"))</f>
        <v>45762</v>
      </c>
      <c r="D66" t="s">
        <v>78</v>
      </c>
      <c r="E66">
        <v>203.54300000000001</v>
      </c>
      <c r="F66">
        <v>203.62799999999999</v>
      </c>
      <c r="G66">
        <v>1.4490000000000001</v>
      </c>
      <c r="H66">
        <v>199.80600000000001</v>
      </c>
      <c r="I66">
        <v>7.5153374233128845E-2</v>
      </c>
      <c r="J66">
        <v>210.429</v>
      </c>
      <c r="K66">
        <v>0.99907975460122711</v>
      </c>
      <c r="L66">
        <v>0.42199999999999999</v>
      </c>
      <c r="M66">
        <v>-27.196999999999999</v>
      </c>
      <c r="N66">
        <v>643.36099999999999</v>
      </c>
      <c r="O66">
        <v>638.41899999999998</v>
      </c>
      <c r="P66">
        <v>73.549000000000007</v>
      </c>
      <c r="Q66">
        <v>491.09100000000001</v>
      </c>
      <c r="R66">
        <v>785.74599999999998</v>
      </c>
      <c r="S66">
        <v>1059.576</v>
      </c>
      <c r="T66">
        <v>1031.2919999999999</v>
      </c>
      <c r="U66">
        <v>59.773000000000003</v>
      </c>
      <c r="V66">
        <v>933.07299999999998</v>
      </c>
      <c r="W66">
        <v>1325.9469999999999</v>
      </c>
      <c r="X66">
        <v>2930.7959999999998</v>
      </c>
      <c r="Y66">
        <v>2946.5479999999998</v>
      </c>
      <c r="Z66">
        <v>364.46800000000002</v>
      </c>
      <c r="AA66">
        <v>2062.5839999999998</v>
      </c>
      <c r="AB66">
        <v>4370.7129999999997</v>
      </c>
      <c r="AC66">
        <v>3.26</v>
      </c>
      <c r="AD66">
        <v>196.12200000000001</v>
      </c>
      <c r="AE66">
        <v>195.876</v>
      </c>
      <c r="AF66">
        <v>2.1859999999999999</v>
      </c>
      <c r="AG66">
        <v>193.42099999999999</v>
      </c>
      <c r="AH66">
        <v>0.10396341463414635</v>
      </c>
      <c r="AI66">
        <v>208.863</v>
      </c>
      <c r="AJ66">
        <v>1.2500000000000001E-2</v>
      </c>
      <c r="AK66">
        <v>0.25</v>
      </c>
      <c r="AL66">
        <v>-30.571000000000002</v>
      </c>
      <c r="AM66">
        <v>327.97800000000001</v>
      </c>
      <c r="AN66">
        <v>328.75400000000002</v>
      </c>
      <c r="AO66">
        <v>6013</v>
      </c>
      <c r="AP66">
        <v>281.78899999999999</v>
      </c>
      <c r="AQ66">
        <v>328.75400000000002</v>
      </c>
      <c r="AR66">
        <v>1408.9459999999999</v>
      </c>
      <c r="AS66">
        <v>1338.498</v>
      </c>
      <c r="AT66">
        <v>191.733</v>
      </c>
      <c r="AU66">
        <v>1268.0509999999999</v>
      </c>
      <c r="AV66">
        <v>1690.7349999999999</v>
      </c>
      <c r="AW66">
        <v>3264.2109999999998</v>
      </c>
      <c r="AX66">
        <v>3287.54</v>
      </c>
      <c r="AY66">
        <v>74.866</v>
      </c>
      <c r="AZ66">
        <v>2911.8209999999999</v>
      </c>
      <c r="BA66">
        <v>3381.47</v>
      </c>
      <c r="BB66">
        <v>3.28</v>
      </c>
      <c r="BC66">
        <v>199.13399999999999</v>
      </c>
      <c r="BD66">
        <v>198.905</v>
      </c>
      <c r="BE66">
        <v>2.16</v>
      </c>
      <c r="BF66">
        <v>195.50299999999999</v>
      </c>
      <c r="BG66">
        <v>0.99138888888888888</v>
      </c>
      <c r="BH66">
        <v>220.815</v>
      </c>
      <c r="BI66">
        <v>0</v>
      </c>
      <c r="BJ66">
        <v>0.25800000000000001</v>
      </c>
      <c r="BK66">
        <v>-30.521999999999998</v>
      </c>
      <c r="BL66">
        <v>402.82</v>
      </c>
      <c r="BM66">
        <v>383.47800000000001</v>
      </c>
      <c r="BN66">
        <v>31.872</v>
      </c>
      <c r="BO66">
        <v>287.60899999999998</v>
      </c>
      <c r="BP66">
        <v>623.15200000000004</v>
      </c>
      <c r="BQ66">
        <v>987.45699999999999</v>
      </c>
      <c r="BR66">
        <v>958.69600000000003</v>
      </c>
      <c r="BS66">
        <v>115.773</v>
      </c>
      <c r="BT66">
        <v>958.69600000000003</v>
      </c>
      <c r="BU66">
        <v>1533.913</v>
      </c>
      <c r="BV66">
        <v>2945.326</v>
      </c>
      <c r="BW66">
        <v>2924.0219999999999</v>
      </c>
      <c r="BX66">
        <v>190.75800000000001</v>
      </c>
      <c r="BY66">
        <v>2348.8040000000001</v>
      </c>
      <c r="BZ66">
        <v>3355.4349999999999</v>
      </c>
      <c r="CA66">
        <v>3.6</v>
      </c>
      <c r="CB66">
        <v>5</v>
      </c>
      <c r="CC66">
        <v>1</v>
      </c>
      <c r="CD66">
        <v>0</v>
      </c>
      <c r="CE66">
        <v>4</v>
      </c>
      <c r="CF66">
        <v>1</v>
      </c>
    </row>
    <row r="67" spans="1:84" x14ac:dyDescent="0.35">
      <c r="A67" t="s">
        <v>477</v>
      </c>
      <c r="B67" t="str">
        <f t="shared" si="5"/>
        <v xml:space="preserve"> fr_pa_2005_07_15_344</v>
      </c>
      <c r="C67" s="1">
        <f t="shared" si="6"/>
        <v>45762</v>
      </c>
      <c r="D67" t="s">
        <v>78</v>
      </c>
      <c r="E67">
        <v>177.20500000000001</v>
      </c>
      <c r="F67">
        <v>176.501</v>
      </c>
      <c r="G67">
        <v>4.8419999999999996</v>
      </c>
      <c r="H67">
        <v>173.62200000000001</v>
      </c>
      <c r="I67">
        <v>7.6923076923076919E-3</v>
      </c>
      <c r="J67">
        <v>227.99100000000001</v>
      </c>
      <c r="K67">
        <v>0</v>
      </c>
      <c r="L67">
        <v>0.57099999999999995</v>
      </c>
      <c r="M67">
        <v>-27.04</v>
      </c>
      <c r="N67">
        <v>476.29700000000003</v>
      </c>
      <c r="O67">
        <v>467.79199999999997</v>
      </c>
      <c r="P67">
        <v>64.721999999999994</v>
      </c>
      <c r="Q67">
        <v>382.73899999999998</v>
      </c>
      <c r="R67">
        <v>722.95100000000002</v>
      </c>
      <c r="S67">
        <v>1301.652</v>
      </c>
      <c r="T67">
        <v>1318.3219999999999</v>
      </c>
      <c r="U67">
        <v>74.620999999999995</v>
      </c>
      <c r="V67">
        <v>1105.6890000000001</v>
      </c>
      <c r="W67">
        <v>1701.0609999999999</v>
      </c>
      <c r="X67">
        <v>2794.4140000000002</v>
      </c>
      <c r="Y67">
        <v>2806.75</v>
      </c>
      <c r="Z67">
        <v>158.19800000000001</v>
      </c>
      <c r="AA67">
        <v>2253.9050000000002</v>
      </c>
      <c r="AB67">
        <v>3146.962</v>
      </c>
      <c r="AC67">
        <v>3.12</v>
      </c>
      <c r="AD67">
        <v>177.184</v>
      </c>
      <c r="AE67">
        <v>177.00700000000001</v>
      </c>
      <c r="AF67">
        <v>1.61</v>
      </c>
      <c r="AG67">
        <v>174.30799999999999</v>
      </c>
      <c r="AH67">
        <v>0.51024844720496887</v>
      </c>
      <c r="AI67">
        <v>188.00200000000001</v>
      </c>
      <c r="AJ67">
        <v>6.2111801242236021E-3</v>
      </c>
      <c r="AK67">
        <v>0.308</v>
      </c>
      <c r="AL67">
        <v>-31.92</v>
      </c>
      <c r="AM67">
        <v>336.97800000000001</v>
      </c>
      <c r="AN67">
        <v>337.608</v>
      </c>
      <c r="AO67">
        <v>5136</v>
      </c>
      <c r="AP67">
        <v>295.40699999999998</v>
      </c>
      <c r="AQ67">
        <v>337.608</v>
      </c>
      <c r="AR67">
        <v>2278.8519999999999</v>
      </c>
      <c r="AS67">
        <v>2405.4549999999999</v>
      </c>
      <c r="AT67">
        <v>260.14400000000001</v>
      </c>
      <c r="AU67">
        <v>1603.636</v>
      </c>
      <c r="AV67">
        <v>2489.8560000000002</v>
      </c>
      <c r="AW67">
        <v>3402.96</v>
      </c>
      <c r="AX67">
        <v>3376.0770000000002</v>
      </c>
      <c r="AY67">
        <v>255.84800000000001</v>
      </c>
      <c r="AZ67">
        <v>2911.866</v>
      </c>
      <c r="BA67">
        <v>4093.4929999999999</v>
      </c>
      <c r="BB67">
        <v>3.22</v>
      </c>
      <c r="BC67">
        <v>177.64699999999999</v>
      </c>
      <c r="BD67">
        <v>177.51599999999999</v>
      </c>
      <c r="BE67">
        <v>2.2349999999999999</v>
      </c>
      <c r="BF67">
        <v>170.64699999999999</v>
      </c>
      <c r="BG67">
        <v>0</v>
      </c>
      <c r="BH67">
        <v>189.387</v>
      </c>
      <c r="BI67">
        <v>7.7922077922077922E-3</v>
      </c>
      <c r="BJ67">
        <v>0.54900000000000004</v>
      </c>
      <c r="BK67">
        <v>-29.841000000000001</v>
      </c>
      <c r="BL67">
        <v>339.57299999999998</v>
      </c>
      <c r="BM67">
        <v>339.23099999999999</v>
      </c>
      <c r="BN67">
        <v>12.676</v>
      </c>
      <c r="BO67">
        <v>296.827</v>
      </c>
      <c r="BP67">
        <v>381.63499999999999</v>
      </c>
      <c r="BQ67">
        <v>1085.97</v>
      </c>
      <c r="BR67">
        <v>1060.096</v>
      </c>
      <c r="BS67">
        <v>85.542000000000002</v>
      </c>
      <c r="BT67">
        <v>932.88499999999999</v>
      </c>
      <c r="BU67">
        <v>1484.135</v>
      </c>
      <c r="BV67">
        <v>3164.8389999999999</v>
      </c>
      <c r="BW67">
        <v>3095.4810000000002</v>
      </c>
      <c r="BX67">
        <v>280.17099999999999</v>
      </c>
      <c r="BY67">
        <v>2798.654</v>
      </c>
      <c r="BZ67">
        <v>3816.346</v>
      </c>
      <c r="CA67">
        <v>3.08</v>
      </c>
      <c r="CB67">
        <v>4</v>
      </c>
      <c r="CC67">
        <v>1</v>
      </c>
      <c r="CD67">
        <v>0</v>
      </c>
      <c r="CE67">
        <v>4</v>
      </c>
      <c r="CF67">
        <v>0</v>
      </c>
    </row>
    <row r="68" spans="1:84" x14ac:dyDescent="0.35">
      <c r="A68" t="s">
        <v>478</v>
      </c>
      <c r="B68" t="str">
        <f t="shared" si="5"/>
        <v xml:space="preserve"> ga_ba_2002_06_06_822</v>
      </c>
      <c r="C68" s="1">
        <f t="shared" si="6"/>
        <v>45762</v>
      </c>
      <c r="D68" t="s">
        <v>78</v>
      </c>
      <c r="E68">
        <v>194.19499999999999</v>
      </c>
      <c r="F68">
        <v>193.3</v>
      </c>
      <c r="G68">
        <v>6.8029999999999999</v>
      </c>
      <c r="H68">
        <v>190.203</v>
      </c>
      <c r="I68">
        <v>0.10049261083743842</v>
      </c>
      <c r="J68">
        <v>270.55200000000002</v>
      </c>
      <c r="K68">
        <v>4.9261083743842374E-3</v>
      </c>
      <c r="L68">
        <v>0.47599999999999998</v>
      </c>
      <c r="M68">
        <v>-28.925000000000001</v>
      </c>
      <c r="N68">
        <v>632.38499999999999</v>
      </c>
      <c r="O68">
        <v>651.95399999999995</v>
      </c>
      <c r="P68">
        <v>39.975999999999999</v>
      </c>
      <c r="Q68">
        <v>558.81700000000001</v>
      </c>
      <c r="R68">
        <v>977.93</v>
      </c>
      <c r="S68">
        <v>1164.4559999999999</v>
      </c>
      <c r="T68">
        <v>1164.203</v>
      </c>
      <c r="U68">
        <v>56.877000000000002</v>
      </c>
      <c r="V68">
        <v>1071.067</v>
      </c>
      <c r="W68">
        <v>1443.6110000000001</v>
      </c>
      <c r="X68">
        <v>3256.3</v>
      </c>
      <c r="Y68">
        <v>3259.768</v>
      </c>
      <c r="Z68">
        <v>109.44799999999999</v>
      </c>
      <c r="AA68">
        <v>2980.3589999999999</v>
      </c>
      <c r="AB68">
        <v>3539.1759999999999</v>
      </c>
      <c r="AC68">
        <v>4.0599999999999996</v>
      </c>
      <c r="AD68">
        <v>193.54300000000001</v>
      </c>
      <c r="AE68">
        <v>192.45599999999999</v>
      </c>
      <c r="AF68">
        <v>6.94</v>
      </c>
      <c r="AG68">
        <v>188.80699999999999</v>
      </c>
      <c r="AH68">
        <v>0.87939698492462315</v>
      </c>
      <c r="AI68">
        <v>277.358</v>
      </c>
      <c r="AJ68">
        <v>5.0251256281407036E-3</v>
      </c>
      <c r="AK68">
        <v>0.45300000000000001</v>
      </c>
      <c r="AL68">
        <v>-28.919</v>
      </c>
      <c r="AM68">
        <v>323.58499999999998</v>
      </c>
      <c r="AN68">
        <v>323.58499999999998</v>
      </c>
      <c r="AO68">
        <v>4.9000000000000004</v>
      </c>
      <c r="AP68">
        <v>277.358</v>
      </c>
      <c r="AQ68">
        <v>369.81099999999998</v>
      </c>
      <c r="AR68">
        <v>2425.759</v>
      </c>
      <c r="AS68">
        <v>2450</v>
      </c>
      <c r="AT68">
        <v>96.153000000000006</v>
      </c>
      <c r="AU68">
        <v>2172.6419999999998</v>
      </c>
      <c r="AV68">
        <v>2588.6790000000001</v>
      </c>
      <c r="AW68">
        <v>3366.6979999999999</v>
      </c>
      <c r="AX68">
        <v>3374.5279999999998</v>
      </c>
      <c r="AY68">
        <v>114.35299999999999</v>
      </c>
      <c r="AZ68">
        <v>3004.7170000000001</v>
      </c>
      <c r="BA68">
        <v>3651.8870000000002</v>
      </c>
      <c r="BB68">
        <v>3.98</v>
      </c>
      <c r="BC68">
        <v>192.797</v>
      </c>
      <c r="BD68">
        <v>191.97800000000001</v>
      </c>
      <c r="BE68">
        <v>7.1589999999999998</v>
      </c>
      <c r="BF68">
        <v>187.54599999999999</v>
      </c>
      <c r="BG68">
        <v>4.0243902439024391E-2</v>
      </c>
      <c r="BH68">
        <v>263.17099999999999</v>
      </c>
      <c r="BI68">
        <v>0.99044715447154474</v>
      </c>
      <c r="BJ68">
        <v>0.46500000000000002</v>
      </c>
      <c r="BK68">
        <v>-29.853999999999999</v>
      </c>
      <c r="BL68">
        <v>366.17899999999997</v>
      </c>
      <c r="BM68">
        <v>365.97500000000002</v>
      </c>
      <c r="BN68">
        <v>17.055</v>
      </c>
      <c r="BO68">
        <v>274.48099999999999</v>
      </c>
      <c r="BP68">
        <v>594.71</v>
      </c>
      <c r="BQ68">
        <v>984.57799999999997</v>
      </c>
      <c r="BR68">
        <v>960.68499999999995</v>
      </c>
      <c r="BS68">
        <v>30.9</v>
      </c>
      <c r="BT68">
        <v>960.68499999999995</v>
      </c>
      <c r="BU68">
        <v>1143.672</v>
      </c>
      <c r="BV68">
        <v>4018.7820000000002</v>
      </c>
      <c r="BW68">
        <v>4025.7260000000001</v>
      </c>
      <c r="BX68">
        <v>157.24799999999999</v>
      </c>
      <c r="BY68">
        <v>3339.5230000000001</v>
      </c>
      <c r="BZ68">
        <v>4345.9539999999997</v>
      </c>
      <c r="CA68">
        <v>4.92</v>
      </c>
      <c r="CB68">
        <v>4</v>
      </c>
      <c r="CC68">
        <v>0</v>
      </c>
      <c r="CD68">
        <v>0</v>
      </c>
      <c r="CE68">
        <v>1</v>
      </c>
      <c r="CF68">
        <v>0</v>
      </c>
    </row>
    <row r="69" spans="1:84" x14ac:dyDescent="0.35">
      <c r="A69" t="s">
        <v>479</v>
      </c>
      <c r="B69" t="str">
        <f t="shared" si="5"/>
        <v xml:space="preserve"> ga_sa_2005_04_30_467</v>
      </c>
      <c r="C69" s="1">
        <f t="shared" si="6"/>
        <v>45762</v>
      </c>
      <c r="D69" t="s">
        <v>78</v>
      </c>
      <c r="E69">
        <v>225.44300000000001</v>
      </c>
      <c r="F69">
        <v>226.73599999999999</v>
      </c>
      <c r="G69">
        <v>3.7559999999999998</v>
      </c>
      <c r="H69">
        <v>214.226</v>
      </c>
      <c r="I69">
        <v>6.2E-2</v>
      </c>
      <c r="J69">
        <v>235.11</v>
      </c>
      <c r="K69">
        <v>0</v>
      </c>
      <c r="L69">
        <v>0.45600000000000002</v>
      </c>
      <c r="M69">
        <v>-30.018000000000001</v>
      </c>
      <c r="N69">
        <v>787.20699999999999</v>
      </c>
      <c r="O69">
        <v>766.005</v>
      </c>
      <c r="P69">
        <v>78.59</v>
      </c>
      <c r="Q69">
        <v>492.43200000000002</v>
      </c>
      <c r="R69">
        <v>984.86400000000003</v>
      </c>
      <c r="S69">
        <v>1219.453</v>
      </c>
      <c r="T69">
        <v>1203.722</v>
      </c>
      <c r="U69">
        <v>29.126999999999999</v>
      </c>
      <c r="V69">
        <v>1149.0070000000001</v>
      </c>
      <c r="W69">
        <v>1313.1510000000001</v>
      </c>
      <c r="X69">
        <v>2778.82</v>
      </c>
      <c r="Y69">
        <v>2790.4470000000001</v>
      </c>
      <c r="Z69">
        <v>158.07400000000001</v>
      </c>
      <c r="AA69">
        <v>2243.3000000000002</v>
      </c>
      <c r="AB69">
        <v>3173.4490000000001</v>
      </c>
      <c r="AC69">
        <v>1.5</v>
      </c>
      <c r="AD69">
        <v>221.61799999999999</v>
      </c>
      <c r="AE69">
        <v>224.346</v>
      </c>
      <c r="AF69">
        <v>13.531000000000001</v>
      </c>
      <c r="AG69">
        <v>108.735</v>
      </c>
      <c r="AH69">
        <v>0</v>
      </c>
      <c r="AI69">
        <v>228.16</v>
      </c>
      <c r="AJ69">
        <v>0.97500000000000009</v>
      </c>
      <c r="AK69">
        <v>1.6240000000000001</v>
      </c>
      <c r="AL69">
        <v>-33.033999999999999</v>
      </c>
      <c r="AM69">
        <v>366.76499999999999</v>
      </c>
      <c r="AN69">
        <v>373.72899999999998</v>
      </c>
      <c r="AO69">
        <v>18.111999999999998</v>
      </c>
      <c r="AP69">
        <v>320.339</v>
      </c>
      <c r="AQ69">
        <v>373.72899999999998</v>
      </c>
      <c r="AR69">
        <v>2423.8980000000001</v>
      </c>
      <c r="AS69">
        <v>2509.3220000000001</v>
      </c>
      <c r="AT69">
        <v>201.89500000000001</v>
      </c>
      <c r="AU69">
        <v>2135.5929999999998</v>
      </c>
      <c r="AV69">
        <v>2616.1019999999999</v>
      </c>
      <c r="AW69">
        <v>3832.9740000000002</v>
      </c>
      <c r="AX69">
        <v>3844.0680000000002</v>
      </c>
      <c r="AY69">
        <v>182.97800000000001</v>
      </c>
      <c r="AZ69">
        <v>3203.39</v>
      </c>
      <c r="BA69">
        <v>4164.4070000000002</v>
      </c>
      <c r="BB69">
        <v>1.48</v>
      </c>
      <c r="BC69">
        <v>222.965</v>
      </c>
      <c r="BD69">
        <v>223.696</v>
      </c>
      <c r="BE69">
        <v>3.7970000000000002</v>
      </c>
      <c r="BF69">
        <v>212.45699999999999</v>
      </c>
      <c r="BG69">
        <v>3.7499999999999999E-2</v>
      </c>
      <c r="BH69">
        <v>228.49700000000001</v>
      </c>
      <c r="BI69">
        <v>0.74999999999999989</v>
      </c>
      <c r="BJ69">
        <v>0.35399999999999998</v>
      </c>
      <c r="BK69">
        <v>-32.186</v>
      </c>
      <c r="BL69">
        <v>339.59800000000001</v>
      </c>
      <c r="BM69">
        <v>319.952</v>
      </c>
      <c r="BN69">
        <v>25.893999999999998</v>
      </c>
      <c r="BO69">
        <v>319.952</v>
      </c>
      <c r="BP69">
        <v>373.27699999999999</v>
      </c>
      <c r="BQ69">
        <v>1036.0340000000001</v>
      </c>
      <c r="BR69">
        <v>986.51800000000003</v>
      </c>
      <c r="BS69">
        <v>88.031999999999996</v>
      </c>
      <c r="BT69">
        <v>959.85500000000002</v>
      </c>
      <c r="BU69">
        <v>1173.1559999999999</v>
      </c>
      <c r="BV69">
        <v>3896.7950000000001</v>
      </c>
      <c r="BW69">
        <v>3946.07</v>
      </c>
      <c r="BX69">
        <v>124.554</v>
      </c>
      <c r="BY69">
        <v>3412.817</v>
      </c>
      <c r="BZ69">
        <v>4106.0460000000003</v>
      </c>
      <c r="CA69">
        <v>1.52</v>
      </c>
      <c r="CB69">
        <v>9</v>
      </c>
      <c r="CC69">
        <v>6</v>
      </c>
      <c r="CD69">
        <v>0</v>
      </c>
      <c r="CE69">
        <v>6</v>
      </c>
      <c r="CF69">
        <v>5</v>
      </c>
    </row>
    <row r="70" spans="1:84" x14ac:dyDescent="0.35">
      <c r="A70" t="s">
        <v>480</v>
      </c>
      <c r="B70" t="str">
        <f t="shared" si="5"/>
        <v xml:space="preserve"> gi_ca_1995_01_27_425</v>
      </c>
      <c r="C70" s="1">
        <f t="shared" si="6"/>
        <v>45762</v>
      </c>
      <c r="D70" t="s">
        <v>78</v>
      </c>
      <c r="E70">
        <v>173.21199999999999</v>
      </c>
      <c r="F70">
        <v>173.62200000000001</v>
      </c>
      <c r="G70">
        <v>3.105</v>
      </c>
      <c r="H70">
        <v>164.11500000000001</v>
      </c>
      <c r="I70">
        <v>0</v>
      </c>
      <c r="J70">
        <v>182.339</v>
      </c>
      <c r="K70">
        <v>0.98508771929824568</v>
      </c>
      <c r="L70">
        <v>0.46600000000000003</v>
      </c>
      <c r="M70">
        <v>-23.986000000000001</v>
      </c>
      <c r="N70">
        <v>850.70600000000002</v>
      </c>
      <c r="O70">
        <v>866.32399999999996</v>
      </c>
      <c r="P70">
        <v>57.168999999999997</v>
      </c>
      <c r="Q70">
        <v>536.29600000000005</v>
      </c>
      <c r="R70">
        <v>948.83100000000002</v>
      </c>
      <c r="S70">
        <v>1056.0899999999999</v>
      </c>
      <c r="T70">
        <v>1072.5909999999999</v>
      </c>
      <c r="U70">
        <v>27.463000000000001</v>
      </c>
      <c r="V70">
        <v>1031.338</v>
      </c>
      <c r="W70">
        <v>1196.3520000000001</v>
      </c>
      <c r="X70">
        <v>3454.9810000000002</v>
      </c>
      <c r="Y70">
        <v>3444.6680000000001</v>
      </c>
      <c r="Z70">
        <v>362.59399999999999</v>
      </c>
      <c r="AA70">
        <v>2433.9569999999999</v>
      </c>
      <c r="AB70">
        <v>4455.3789999999999</v>
      </c>
      <c r="AC70">
        <v>3.42</v>
      </c>
      <c r="AD70">
        <v>178.42699999999999</v>
      </c>
      <c r="AE70">
        <v>176.703</v>
      </c>
      <c r="AF70">
        <v>15.922000000000001</v>
      </c>
      <c r="AG70">
        <v>166.77500000000001</v>
      </c>
      <c r="AH70">
        <v>5.5468749999999997E-2</v>
      </c>
      <c r="AI70">
        <v>294.84199999999998</v>
      </c>
      <c r="AJ70">
        <v>9.3749999999999997E-3</v>
      </c>
      <c r="AK70">
        <v>0.92200000000000004</v>
      </c>
      <c r="AL70">
        <v>-29.914999999999999</v>
      </c>
      <c r="AM70">
        <v>344.815</v>
      </c>
      <c r="AN70">
        <v>340.87</v>
      </c>
      <c r="AO70">
        <v>29.437999999999999</v>
      </c>
      <c r="AP70">
        <v>340.87</v>
      </c>
      <c r="AQ70">
        <v>639.13</v>
      </c>
      <c r="AR70">
        <v>1363.4780000000001</v>
      </c>
      <c r="AS70">
        <v>1278.261</v>
      </c>
      <c r="AT70">
        <v>185.727</v>
      </c>
      <c r="AU70">
        <v>1235.652</v>
      </c>
      <c r="AV70">
        <v>1576.5219999999999</v>
      </c>
      <c r="AW70">
        <v>3411.0630000000001</v>
      </c>
      <c r="AX70">
        <v>3366.087</v>
      </c>
      <c r="AY70">
        <v>180.476</v>
      </c>
      <c r="AZ70">
        <v>3067.826</v>
      </c>
      <c r="BA70">
        <v>4175.652</v>
      </c>
      <c r="BB70">
        <v>2.56</v>
      </c>
      <c r="BC70">
        <v>178.45</v>
      </c>
      <c r="BD70">
        <v>178.54300000000001</v>
      </c>
      <c r="BE70">
        <v>1.9119999999999999</v>
      </c>
      <c r="BF70">
        <v>173.72</v>
      </c>
      <c r="BG70">
        <v>0.99839999999999995</v>
      </c>
      <c r="BH70">
        <v>183.53200000000001</v>
      </c>
      <c r="BI70">
        <v>8.0000000000000002E-3</v>
      </c>
      <c r="BJ70">
        <v>0.48199999999999998</v>
      </c>
      <c r="BK70">
        <v>-28.004000000000001</v>
      </c>
      <c r="BL70">
        <v>359.01900000000001</v>
      </c>
      <c r="BM70">
        <v>339.23099999999999</v>
      </c>
      <c r="BN70">
        <v>21.256</v>
      </c>
      <c r="BO70">
        <v>339.23099999999999</v>
      </c>
      <c r="BP70">
        <v>381.63499999999999</v>
      </c>
      <c r="BQ70">
        <v>1073.4870000000001</v>
      </c>
      <c r="BR70">
        <v>1060.096</v>
      </c>
      <c r="BS70">
        <v>46.835000000000001</v>
      </c>
      <c r="BT70">
        <v>1017.692</v>
      </c>
      <c r="BU70">
        <v>1272.115</v>
      </c>
      <c r="BV70">
        <v>3281.25</v>
      </c>
      <c r="BW70">
        <v>3265.096</v>
      </c>
      <c r="BX70">
        <v>181.47200000000001</v>
      </c>
      <c r="BY70">
        <v>2671.442</v>
      </c>
      <c r="BZ70">
        <v>3604.3270000000002</v>
      </c>
      <c r="CA70">
        <v>2.5</v>
      </c>
      <c r="CB70">
        <v>4</v>
      </c>
      <c r="CC70">
        <v>0</v>
      </c>
      <c r="CD70">
        <v>1</v>
      </c>
      <c r="CE70">
        <v>2</v>
      </c>
      <c r="CF70">
        <v>0</v>
      </c>
    </row>
    <row r="71" spans="1:84" x14ac:dyDescent="0.35">
      <c r="A71" t="s">
        <v>481</v>
      </c>
      <c r="B71" t="str">
        <f t="shared" si="5"/>
        <v xml:space="preserve"> gi_ga_2001_03_16_540</v>
      </c>
      <c r="C71" s="1">
        <f t="shared" si="6"/>
        <v>45762</v>
      </c>
      <c r="D71" t="s">
        <v>78</v>
      </c>
      <c r="E71">
        <v>189.32</v>
      </c>
      <c r="F71">
        <v>188.232</v>
      </c>
      <c r="G71">
        <v>5.7629999999999999</v>
      </c>
      <c r="H71">
        <v>185.964</v>
      </c>
      <c r="I71">
        <v>0.11710526315789473</v>
      </c>
      <c r="J71">
        <v>235.11</v>
      </c>
      <c r="K71">
        <v>0</v>
      </c>
      <c r="L71">
        <v>0.53400000000000003</v>
      </c>
      <c r="M71">
        <v>-26.364999999999998</v>
      </c>
      <c r="N71">
        <v>499.048</v>
      </c>
      <c r="O71">
        <v>498.04899999999998</v>
      </c>
      <c r="P71">
        <v>61.975000000000001</v>
      </c>
      <c r="Q71">
        <v>407.495</v>
      </c>
      <c r="R71">
        <v>860.26700000000005</v>
      </c>
      <c r="S71">
        <v>1121.377</v>
      </c>
      <c r="T71">
        <v>1131.93</v>
      </c>
      <c r="U71">
        <v>64.488</v>
      </c>
      <c r="V71">
        <v>996.09900000000005</v>
      </c>
      <c r="W71">
        <v>1584.702</v>
      </c>
      <c r="X71">
        <v>2606.7689999999998</v>
      </c>
      <c r="Y71">
        <v>2580.8009999999999</v>
      </c>
      <c r="Z71">
        <v>192.77600000000001</v>
      </c>
      <c r="AA71">
        <v>2218.5830000000001</v>
      </c>
      <c r="AB71">
        <v>3124.127</v>
      </c>
      <c r="AC71">
        <v>3.04</v>
      </c>
      <c r="AD71">
        <v>190.32</v>
      </c>
      <c r="AE71">
        <v>188.98099999999999</v>
      </c>
      <c r="AF71">
        <v>4.5060000000000002</v>
      </c>
      <c r="AG71">
        <v>187.31800000000001</v>
      </c>
      <c r="AH71">
        <v>0.51201298701298703</v>
      </c>
      <c r="AI71">
        <v>229.68799999999999</v>
      </c>
      <c r="AJ71">
        <v>0</v>
      </c>
      <c r="AK71">
        <v>0.36699999999999999</v>
      </c>
      <c r="AL71">
        <v>-29.454000000000001</v>
      </c>
      <c r="AM71">
        <v>363.95600000000002</v>
      </c>
      <c r="AN71">
        <v>362.96300000000002</v>
      </c>
      <c r="AO71">
        <v>11.629</v>
      </c>
      <c r="AP71">
        <v>272.22199999999998</v>
      </c>
      <c r="AQ71">
        <v>408.33300000000003</v>
      </c>
      <c r="AR71">
        <v>2119.444</v>
      </c>
      <c r="AS71">
        <v>2177.7779999999998</v>
      </c>
      <c r="AT71">
        <v>311.00700000000001</v>
      </c>
      <c r="AU71">
        <v>1633.3330000000001</v>
      </c>
      <c r="AV71">
        <v>2540.741</v>
      </c>
      <c r="AW71">
        <v>3314.01</v>
      </c>
      <c r="AX71">
        <v>3312.0369999999998</v>
      </c>
      <c r="AY71">
        <v>217.54499999999999</v>
      </c>
      <c r="AZ71">
        <v>2722.2220000000002</v>
      </c>
      <c r="BA71">
        <v>4264.8149999999996</v>
      </c>
      <c r="BB71">
        <v>3.08</v>
      </c>
      <c r="BC71">
        <v>190.69900000000001</v>
      </c>
      <c r="BD71">
        <v>190.08600000000001</v>
      </c>
      <c r="BE71">
        <v>2.569</v>
      </c>
      <c r="BF71">
        <v>188.232</v>
      </c>
      <c r="BG71">
        <v>0.13489932885906042</v>
      </c>
      <c r="BH71">
        <v>206.21199999999999</v>
      </c>
      <c r="BI71">
        <v>0</v>
      </c>
      <c r="BJ71">
        <v>0.40600000000000003</v>
      </c>
      <c r="BK71">
        <v>-29.311</v>
      </c>
      <c r="BL71">
        <v>362.18099999999998</v>
      </c>
      <c r="BM71">
        <v>361.47500000000002</v>
      </c>
      <c r="BN71">
        <v>5626</v>
      </c>
      <c r="BO71">
        <v>361.47500000000002</v>
      </c>
      <c r="BP71">
        <v>406.66</v>
      </c>
      <c r="BQ71">
        <v>1077.443</v>
      </c>
      <c r="BR71">
        <v>1084.4259999999999</v>
      </c>
      <c r="BS71">
        <v>63.07</v>
      </c>
      <c r="BT71">
        <v>948.87300000000005</v>
      </c>
      <c r="BU71">
        <v>1219.98</v>
      </c>
      <c r="BV71">
        <v>3135.0520000000001</v>
      </c>
      <c r="BW71">
        <v>3117.7249999999999</v>
      </c>
      <c r="BX71">
        <v>153.50200000000001</v>
      </c>
      <c r="BY71">
        <v>2891.8029999999999</v>
      </c>
      <c r="BZ71">
        <v>3614.7539999999999</v>
      </c>
      <c r="CA71">
        <v>2.98</v>
      </c>
      <c r="CB71">
        <v>4</v>
      </c>
      <c r="CC71">
        <v>0</v>
      </c>
      <c r="CD71">
        <v>0</v>
      </c>
      <c r="CE71">
        <v>1</v>
      </c>
      <c r="CF71">
        <v>1</v>
      </c>
    </row>
    <row r="72" spans="1:84" x14ac:dyDescent="0.35">
      <c r="A72" t="s">
        <v>482</v>
      </c>
      <c r="B72" t="str">
        <f t="shared" si="5"/>
        <v xml:space="preserve"> gi_la_2005_03_15_562</v>
      </c>
      <c r="C72" s="1">
        <f t="shared" si="6"/>
        <v>45762</v>
      </c>
      <c r="D72" t="s">
        <v>78</v>
      </c>
      <c r="E72">
        <v>180.459</v>
      </c>
      <c r="F72">
        <v>180.47399999999999</v>
      </c>
      <c r="G72">
        <v>4.25</v>
      </c>
      <c r="H72">
        <v>157.25899999999999</v>
      </c>
      <c r="I72">
        <v>0.97178770949720672</v>
      </c>
      <c r="J72">
        <v>206.21199999999999</v>
      </c>
      <c r="K72">
        <v>1.2849162011173185E-2</v>
      </c>
      <c r="L72">
        <v>0.621</v>
      </c>
      <c r="M72">
        <v>-23.036999999999999</v>
      </c>
      <c r="N72">
        <v>541.00900000000001</v>
      </c>
      <c r="O72">
        <v>520.86599999999999</v>
      </c>
      <c r="P72">
        <v>50.536999999999999</v>
      </c>
      <c r="Q72">
        <v>434.05500000000001</v>
      </c>
      <c r="R72">
        <v>737.89400000000001</v>
      </c>
      <c r="S72">
        <v>1251.634</v>
      </c>
      <c r="T72">
        <v>1258.76</v>
      </c>
      <c r="U72">
        <v>54.332000000000001</v>
      </c>
      <c r="V72">
        <v>1128.5429999999999</v>
      </c>
      <c r="W72">
        <v>1562.598</v>
      </c>
      <c r="X72">
        <v>3215.9540000000002</v>
      </c>
      <c r="Y72">
        <v>3212.0079999999998</v>
      </c>
      <c r="Z72">
        <v>139.07499999999999</v>
      </c>
      <c r="AA72">
        <v>2647.7359999999999</v>
      </c>
      <c r="AB72">
        <v>3559.252</v>
      </c>
      <c r="AC72">
        <v>3.58</v>
      </c>
      <c r="AD72">
        <v>179.36</v>
      </c>
      <c r="AE72">
        <v>179.79</v>
      </c>
      <c r="AF72">
        <v>11.736000000000001</v>
      </c>
      <c r="AG72">
        <v>92.87</v>
      </c>
      <c r="AH72">
        <v>6.024096385542169E-3</v>
      </c>
      <c r="AI72">
        <v>279.62</v>
      </c>
      <c r="AJ72">
        <v>0.96987951807228923</v>
      </c>
      <c r="AK72">
        <v>1.663</v>
      </c>
      <c r="AL72">
        <v>-23.055</v>
      </c>
      <c r="AM72">
        <v>338.947</v>
      </c>
      <c r="AN72">
        <v>339.88400000000001</v>
      </c>
      <c r="AO72">
        <v>6263</v>
      </c>
      <c r="AP72">
        <v>297.399</v>
      </c>
      <c r="AQ72">
        <v>339.88400000000001</v>
      </c>
      <c r="AR72">
        <v>2406.1529999999998</v>
      </c>
      <c r="AS72">
        <v>2421.6759999999999</v>
      </c>
      <c r="AT72">
        <v>129.983</v>
      </c>
      <c r="AU72">
        <v>1656.9359999999999</v>
      </c>
      <c r="AV72">
        <v>2506.6469999999999</v>
      </c>
      <c r="AW72">
        <v>3390.65</v>
      </c>
      <c r="AX72">
        <v>3356.3580000000002</v>
      </c>
      <c r="AY72">
        <v>159.203</v>
      </c>
      <c r="AZ72">
        <v>3058.96</v>
      </c>
      <c r="BA72">
        <v>3781.2139999999999</v>
      </c>
      <c r="BB72">
        <v>3.32</v>
      </c>
      <c r="BC72">
        <v>181.405</v>
      </c>
      <c r="BD72">
        <v>180.84399999999999</v>
      </c>
      <c r="BE72">
        <v>7.3419999999999996</v>
      </c>
      <c r="BF72">
        <v>158.87799999999999</v>
      </c>
      <c r="BG72">
        <v>0.97852941176470587</v>
      </c>
      <c r="BH72">
        <v>235.29</v>
      </c>
      <c r="BI72">
        <v>1.3529411764705882E-2</v>
      </c>
      <c r="BJ72">
        <v>0.72299999999999998</v>
      </c>
      <c r="BK72">
        <v>-23.734000000000002</v>
      </c>
      <c r="BL72">
        <v>388.23200000000003</v>
      </c>
      <c r="BM72">
        <v>392.19400000000002</v>
      </c>
      <c r="BN72">
        <v>24.207000000000001</v>
      </c>
      <c r="BO72">
        <v>348.61700000000002</v>
      </c>
      <c r="BP72">
        <v>566.50199999999995</v>
      </c>
      <c r="BQ72">
        <v>1179.4860000000001</v>
      </c>
      <c r="BR72">
        <v>1176.5809999999999</v>
      </c>
      <c r="BS72">
        <v>108.68300000000001</v>
      </c>
      <c r="BT72">
        <v>1045.8499999999999</v>
      </c>
      <c r="BU72">
        <v>1655.9290000000001</v>
      </c>
      <c r="BV72">
        <v>3510.4740000000002</v>
      </c>
      <c r="BW72">
        <v>3529.7429999999999</v>
      </c>
      <c r="BX72">
        <v>77.034999999999997</v>
      </c>
      <c r="BY72">
        <v>3311.8580000000002</v>
      </c>
      <c r="BZ72">
        <v>3834.7829999999999</v>
      </c>
      <c r="CA72">
        <v>3.4</v>
      </c>
      <c r="CB72">
        <v>5</v>
      </c>
      <c r="CC72">
        <v>3</v>
      </c>
      <c r="CD72">
        <v>0</v>
      </c>
      <c r="CE72">
        <v>2</v>
      </c>
      <c r="CF72">
        <v>2</v>
      </c>
    </row>
    <row r="73" spans="1:84" x14ac:dyDescent="0.35">
      <c r="A73" t="s">
        <v>483</v>
      </c>
      <c r="B73" t="str">
        <f>_xlfn.TEXTBEFORE(_xlfn.TEXTAFTER(A73,"-"),"_ONLY_VOWELS")</f>
        <v xml:space="preserve"> gi_lo_2004_06_27_237</v>
      </c>
      <c r="C73" s="1">
        <f t="shared" si="6"/>
        <v>45762</v>
      </c>
      <c r="D73" t="s">
        <v>78</v>
      </c>
      <c r="E73">
        <v>216.31200000000001</v>
      </c>
      <c r="F73">
        <v>216.48</v>
      </c>
      <c r="G73">
        <v>1.8360000000000001</v>
      </c>
      <c r="H73">
        <v>209.715</v>
      </c>
      <c r="I73">
        <v>0</v>
      </c>
      <c r="J73">
        <v>220.65799999999999</v>
      </c>
      <c r="K73">
        <v>0.42682119205298008</v>
      </c>
      <c r="L73">
        <v>0.246</v>
      </c>
      <c r="M73">
        <v>-27.513999999999999</v>
      </c>
      <c r="N73">
        <v>712.93499999999995</v>
      </c>
      <c r="O73">
        <v>732.38400000000001</v>
      </c>
      <c r="P73">
        <v>37.685000000000002</v>
      </c>
      <c r="Q73">
        <v>575.44500000000005</v>
      </c>
      <c r="R73">
        <v>941.63699999999994</v>
      </c>
      <c r="S73">
        <v>1123.7270000000001</v>
      </c>
      <c r="T73">
        <v>1150.8900000000001</v>
      </c>
      <c r="U73">
        <v>45.048999999999999</v>
      </c>
      <c r="V73">
        <v>1046.2629999999999</v>
      </c>
      <c r="W73">
        <v>1203.203</v>
      </c>
      <c r="X73">
        <v>2389.9740000000002</v>
      </c>
      <c r="Y73">
        <v>2354.0929999999998</v>
      </c>
      <c r="Z73">
        <v>275.13900000000001</v>
      </c>
      <c r="AA73">
        <v>2040.2139999999999</v>
      </c>
      <c r="AB73">
        <v>3400.3560000000002</v>
      </c>
      <c r="AC73">
        <v>3.02</v>
      </c>
      <c r="AD73">
        <v>217.18799999999999</v>
      </c>
      <c r="AE73">
        <v>216.78399999999999</v>
      </c>
      <c r="AF73">
        <v>2.016</v>
      </c>
      <c r="AG73">
        <v>207.042</v>
      </c>
      <c r="AH73">
        <v>0.98980891719745223</v>
      </c>
      <c r="AI73">
        <v>225.49299999999999</v>
      </c>
      <c r="AJ73">
        <v>0</v>
      </c>
      <c r="AK73">
        <v>0.32900000000000001</v>
      </c>
      <c r="AL73">
        <v>-30.956</v>
      </c>
      <c r="AM73">
        <v>378.26499999999999</v>
      </c>
      <c r="AN73">
        <v>369.25799999999998</v>
      </c>
      <c r="AO73">
        <v>20.748999999999999</v>
      </c>
      <c r="AP73">
        <v>316.50700000000001</v>
      </c>
      <c r="AQ73">
        <v>422.01</v>
      </c>
      <c r="AR73">
        <v>2055.0990000000002</v>
      </c>
      <c r="AS73">
        <v>2057.297</v>
      </c>
      <c r="AT73">
        <v>98.968999999999994</v>
      </c>
      <c r="AU73">
        <v>1899.0429999999999</v>
      </c>
      <c r="AV73">
        <v>2215.5500000000002</v>
      </c>
      <c r="AW73">
        <v>3898.7640000000001</v>
      </c>
      <c r="AX73">
        <v>3903.5889999999999</v>
      </c>
      <c r="AY73">
        <v>167.20400000000001</v>
      </c>
      <c r="AZ73">
        <v>3376.0770000000002</v>
      </c>
      <c r="BA73">
        <v>4220.0959999999995</v>
      </c>
      <c r="BB73">
        <v>3.14</v>
      </c>
      <c r="BC73">
        <v>218.59100000000001</v>
      </c>
      <c r="BD73">
        <v>218.78100000000001</v>
      </c>
      <c r="BE73">
        <v>1.7110000000000001</v>
      </c>
      <c r="BF73">
        <v>206.62700000000001</v>
      </c>
      <c r="BG73">
        <v>1</v>
      </c>
      <c r="BH73">
        <v>221.767</v>
      </c>
      <c r="BI73">
        <v>8.0519480519480519E-2</v>
      </c>
      <c r="BJ73">
        <v>0.33700000000000002</v>
      </c>
      <c r="BK73">
        <v>-31.513999999999999</v>
      </c>
      <c r="BL73">
        <v>403.26799999999997</v>
      </c>
      <c r="BM73">
        <v>423.529</v>
      </c>
      <c r="BN73">
        <v>25.812000000000001</v>
      </c>
      <c r="BO73">
        <v>370.58800000000002</v>
      </c>
      <c r="BP73">
        <v>423.529</v>
      </c>
      <c r="BQ73">
        <v>973.81899999999996</v>
      </c>
      <c r="BR73">
        <v>952.94100000000003</v>
      </c>
      <c r="BS73">
        <v>32.853999999999999</v>
      </c>
      <c r="BT73">
        <v>952.94100000000003</v>
      </c>
      <c r="BU73">
        <v>1111.7650000000001</v>
      </c>
      <c r="BV73">
        <v>3804.902</v>
      </c>
      <c r="BW73">
        <v>3811.7649999999999</v>
      </c>
      <c r="BX73">
        <v>277.08499999999998</v>
      </c>
      <c r="BY73">
        <v>2964.7060000000001</v>
      </c>
      <c r="BZ73">
        <v>4500</v>
      </c>
      <c r="CA73">
        <v>3.08</v>
      </c>
    </row>
    <row r="74" spans="1:84" x14ac:dyDescent="0.35">
      <c r="A74" t="s">
        <v>484</v>
      </c>
      <c r="B74" t="str">
        <f t="shared" ref="B74:B105" si="7">_xlfn.TEXTAFTER(A74,"-")</f>
        <v xml:space="preserve"> gi_ma_2004_01_10_447</v>
      </c>
      <c r="C74" s="1">
        <f t="shared" si="6"/>
        <v>45762</v>
      </c>
      <c r="D74" t="s">
        <v>78</v>
      </c>
      <c r="E74">
        <v>226.37899999999999</v>
      </c>
      <c r="F74">
        <v>225.988</v>
      </c>
      <c r="G74">
        <v>2.4489999999999998</v>
      </c>
      <c r="H74">
        <v>223.53399999999999</v>
      </c>
      <c r="I74">
        <v>0.90308641975308646</v>
      </c>
      <c r="J74">
        <v>240.79599999999999</v>
      </c>
      <c r="K74">
        <v>6.1728395061728392E-3</v>
      </c>
      <c r="L74">
        <v>0.23200000000000001</v>
      </c>
      <c r="M74">
        <v>-28.866</v>
      </c>
      <c r="N74">
        <v>893.47</v>
      </c>
      <c r="O74">
        <v>879.8</v>
      </c>
      <c r="P74">
        <v>37.774999999999999</v>
      </c>
      <c r="Q74">
        <v>824.81299999999999</v>
      </c>
      <c r="R74">
        <v>1044.7629999999999</v>
      </c>
      <c r="S74">
        <v>1037.307</v>
      </c>
      <c r="T74">
        <v>1044.7629999999999</v>
      </c>
      <c r="U74">
        <v>37.703000000000003</v>
      </c>
      <c r="V74">
        <v>989.77599999999995</v>
      </c>
      <c r="W74">
        <v>1154.7380000000001</v>
      </c>
      <c r="X74">
        <v>3420.4110000000001</v>
      </c>
      <c r="Y74">
        <v>3409.2269999999999</v>
      </c>
      <c r="Z74">
        <v>85.012</v>
      </c>
      <c r="AA74">
        <v>3024.3139999999999</v>
      </c>
      <c r="AB74">
        <v>3684.165</v>
      </c>
      <c r="AC74">
        <v>3.24</v>
      </c>
      <c r="AD74">
        <v>231.74600000000001</v>
      </c>
      <c r="AE74">
        <v>231.93100000000001</v>
      </c>
      <c r="AF74">
        <v>3.2770000000000001</v>
      </c>
      <c r="AG74">
        <v>222.88800000000001</v>
      </c>
      <c r="AH74">
        <v>0.10796178343949045</v>
      </c>
      <c r="AI74">
        <v>249.15299999999999</v>
      </c>
      <c r="AJ74">
        <v>0</v>
      </c>
      <c r="AK74">
        <v>0.314</v>
      </c>
      <c r="AL74">
        <v>-31.324999999999999</v>
      </c>
      <c r="AM74">
        <v>318.22899999999998</v>
      </c>
      <c r="AN74">
        <v>338.79599999999999</v>
      </c>
      <c r="AO74">
        <v>34.182000000000002</v>
      </c>
      <c r="AP74">
        <v>282.33</v>
      </c>
      <c r="AQ74">
        <v>564.66099999999994</v>
      </c>
      <c r="AR74">
        <v>2432.2600000000002</v>
      </c>
      <c r="AS74">
        <v>2428.0410000000002</v>
      </c>
      <c r="AT74">
        <v>52.584000000000003</v>
      </c>
      <c r="AU74">
        <v>2258.643</v>
      </c>
      <c r="AV74">
        <v>2597.4389999999999</v>
      </c>
      <c r="AW74">
        <v>3207.9180000000001</v>
      </c>
      <c r="AX74">
        <v>3218.5659999999998</v>
      </c>
      <c r="AY74">
        <v>178.499</v>
      </c>
      <c r="AZ74">
        <v>2766.837</v>
      </c>
      <c r="BA74">
        <v>3783.2269999999999</v>
      </c>
      <c r="BB74">
        <v>3.14</v>
      </c>
      <c r="BC74">
        <v>258.90199999999999</v>
      </c>
      <c r="BD74">
        <v>257.89499999999998</v>
      </c>
      <c r="BE74">
        <v>5.9889999999999999</v>
      </c>
      <c r="BF74">
        <v>249.96</v>
      </c>
      <c r="BG74">
        <v>0.97730263157894737</v>
      </c>
      <c r="BH74">
        <v>315</v>
      </c>
      <c r="BI74">
        <v>0.98782894736842108</v>
      </c>
      <c r="BJ74">
        <v>0.42599999999999999</v>
      </c>
      <c r="BK74">
        <v>-29.167000000000002</v>
      </c>
      <c r="BL74">
        <v>563.86099999999999</v>
      </c>
      <c r="BM74">
        <v>566.19100000000003</v>
      </c>
      <c r="BN74">
        <v>21.88</v>
      </c>
      <c r="BO74">
        <v>440.37099999999998</v>
      </c>
      <c r="BP74">
        <v>754.92200000000003</v>
      </c>
      <c r="BQ74">
        <v>1049.6890000000001</v>
      </c>
      <c r="BR74">
        <v>1069.472</v>
      </c>
      <c r="BS74">
        <v>38.856999999999999</v>
      </c>
      <c r="BT74">
        <v>943.65200000000004</v>
      </c>
      <c r="BU74">
        <v>1195.2919999999999</v>
      </c>
      <c r="BV74">
        <v>2983.0720000000001</v>
      </c>
      <c r="BW74">
        <v>2956.7759999999998</v>
      </c>
      <c r="BX74">
        <v>171.673</v>
      </c>
      <c r="BY74">
        <v>2768.0459999999998</v>
      </c>
      <c r="BZ74">
        <v>3837.518</v>
      </c>
      <c r="CA74">
        <v>3.04</v>
      </c>
      <c r="CB74">
        <v>8</v>
      </c>
      <c r="CC74">
        <v>3</v>
      </c>
      <c r="CD74">
        <v>2</v>
      </c>
      <c r="CE74">
        <v>7</v>
      </c>
      <c r="CF74">
        <v>4</v>
      </c>
    </row>
    <row r="75" spans="1:84" x14ac:dyDescent="0.35">
      <c r="A75" t="s">
        <v>485</v>
      </c>
      <c r="B75" t="str">
        <f t="shared" si="7"/>
        <v xml:space="preserve"> gi_ma_2006_01_06_210</v>
      </c>
      <c r="C75" s="1">
        <f t="shared" si="6"/>
        <v>45762</v>
      </c>
      <c r="D75" t="s">
        <v>78</v>
      </c>
      <c r="E75">
        <v>205.62799999999999</v>
      </c>
      <c r="F75">
        <v>205.8</v>
      </c>
      <c r="G75">
        <v>3</v>
      </c>
      <c r="H75">
        <v>192.81700000000001</v>
      </c>
      <c r="I75">
        <v>0.99879032258064515</v>
      </c>
      <c r="J75">
        <v>210.57300000000001</v>
      </c>
      <c r="K75">
        <v>0.88387096774193552</v>
      </c>
      <c r="L75">
        <v>0.45800000000000002</v>
      </c>
      <c r="M75">
        <v>-28.161000000000001</v>
      </c>
      <c r="N75">
        <v>378.33499999999998</v>
      </c>
      <c r="O75">
        <v>397.29700000000003</v>
      </c>
      <c r="P75">
        <v>24.238</v>
      </c>
      <c r="Q75">
        <v>347.63499999999999</v>
      </c>
      <c r="R75">
        <v>397.29700000000003</v>
      </c>
      <c r="S75">
        <v>2513.89</v>
      </c>
      <c r="T75">
        <v>2532.77</v>
      </c>
      <c r="U75">
        <v>38.069000000000003</v>
      </c>
      <c r="V75">
        <v>2284.4589999999998</v>
      </c>
      <c r="W75">
        <v>2582.4319999999998</v>
      </c>
      <c r="X75">
        <v>2669.9520000000002</v>
      </c>
      <c r="Y75">
        <v>2681.7570000000001</v>
      </c>
      <c r="Z75">
        <v>86.385000000000005</v>
      </c>
      <c r="AA75">
        <v>2483.1080000000002</v>
      </c>
      <c r="AB75">
        <v>2979.73</v>
      </c>
      <c r="AC75">
        <v>2.48</v>
      </c>
      <c r="AD75">
        <v>195.97</v>
      </c>
      <c r="AE75">
        <v>196.18700000000001</v>
      </c>
      <c r="AF75">
        <v>3.0339999999999998</v>
      </c>
      <c r="AG75">
        <v>185.517</v>
      </c>
      <c r="AH75">
        <v>1</v>
      </c>
      <c r="AI75">
        <v>206.07499999999999</v>
      </c>
      <c r="AJ75">
        <v>8.4745762711864406E-3</v>
      </c>
      <c r="AK75">
        <v>0.46700000000000003</v>
      </c>
      <c r="AL75">
        <v>-25.303999999999998</v>
      </c>
      <c r="AM75">
        <v>366.71600000000001</v>
      </c>
      <c r="AN75">
        <v>376.11900000000003</v>
      </c>
      <c r="AO75">
        <v>22.785</v>
      </c>
      <c r="AP75">
        <v>329.10399999999998</v>
      </c>
      <c r="AQ75">
        <v>423.13400000000001</v>
      </c>
      <c r="AR75">
        <v>2537.4229999999998</v>
      </c>
      <c r="AS75">
        <v>2538.806</v>
      </c>
      <c r="AT75">
        <v>40.896999999999998</v>
      </c>
      <c r="AU75">
        <v>2444.7759999999998</v>
      </c>
      <c r="AV75">
        <v>2632.8359999999998</v>
      </c>
      <c r="AW75">
        <v>2793.5410000000002</v>
      </c>
      <c r="AX75">
        <v>2773.8809999999999</v>
      </c>
      <c r="AY75">
        <v>57.451000000000001</v>
      </c>
      <c r="AZ75">
        <v>2632.8359999999998</v>
      </c>
      <c r="BA75">
        <v>2961.94</v>
      </c>
      <c r="BB75">
        <v>2.36</v>
      </c>
      <c r="BC75">
        <v>203.55199999999999</v>
      </c>
      <c r="BD75">
        <v>201.501</v>
      </c>
      <c r="BE75">
        <v>17.297999999999998</v>
      </c>
      <c r="BF75">
        <v>184.51900000000001</v>
      </c>
      <c r="BG75">
        <v>0.97421052631578953</v>
      </c>
      <c r="BH75">
        <v>325.29000000000002</v>
      </c>
      <c r="BI75">
        <v>1.1052631578947369E-2</v>
      </c>
      <c r="BJ75">
        <v>1.0029999999999999</v>
      </c>
      <c r="BK75">
        <v>-25.600999999999999</v>
      </c>
      <c r="BL75">
        <v>366.68099999999998</v>
      </c>
      <c r="BM75">
        <v>344.14699999999999</v>
      </c>
      <c r="BN75">
        <v>31.890999999999998</v>
      </c>
      <c r="BO75">
        <v>344.14699999999999</v>
      </c>
      <c r="BP75">
        <v>540.803</v>
      </c>
      <c r="BQ75">
        <v>2582.5160000000001</v>
      </c>
      <c r="BR75">
        <v>2605.6860000000001</v>
      </c>
      <c r="BS75">
        <v>133.03200000000001</v>
      </c>
      <c r="BT75">
        <v>1376.5889999999999</v>
      </c>
      <c r="BU75">
        <v>2654.8490000000002</v>
      </c>
      <c r="BV75">
        <v>2770.8119999999999</v>
      </c>
      <c r="BW75">
        <v>2704.0129999999999</v>
      </c>
      <c r="BX75">
        <v>162.41900000000001</v>
      </c>
      <c r="BY75">
        <v>2654.8490000000002</v>
      </c>
      <c r="BZ75">
        <v>3539.799</v>
      </c>
      <c r="CA75">
        <v>1.9</v>
      </c>
      <c r="CB75">
        <v>4</v>
      </c>
      <c r="CC75">
        <v>3</v>
      </c>
      <c r="CD75">
        <v>3</v>
      </c>
      <c r="CE75">
        <v>4</v>
      </c>
      <c r="CF75">
        <v>4</v>
      </c>
    </row>
    <row r="76" spans="1:84" x14ac:dyDescent="0.35">
      <c r="A76" t="s">
        <v>486</v>
      </c>
      <c r="B76" t="str">
        <f t="shared" si="7"/>
        <v xml:space="preserve"> gi_me_2005_07_26_290</v>
      </c>
      <c r="C76" s="1">
        <f t="shared" si="6"/>
        <v>45762</v>
      </c>
      <c r="D76" t="s">
        <v>78</v>
      </c>
      <c r="E76">
        <v>171.99199999999999</v>
      </c>
      <c r="F76">
        <v>171.5</v>
      </c>
      <c r="G76">
        <v>3.625</v>
      </c>
      <c r="H76">
        <v>166.23599999999999</v>
      </c>
      <c r="I76">
        <v>0.41993865030674848</v>
      </c>
      <c r="J76">
        <v>193.05799999999999</v>
      </c>
      <c r="K76">
        <v>6.1349693251533744E-3</v>
      </c>
      <c r="L76">
        <v>0.82699999999999996</v>
      </c>
      <c r="M76">
        <v>-13.852</v>
      </c>
      <c r="N76">
        <v>762.66200000000003</v>
      </c>
      <c r="O76">
        <v>739.79499999999996</v>
      </c>
      <c r="P76">
        <v>47.838000000000001</v>
      </c>
      <c r="Q76">
        <v>534.29600000000005</v>
      </c>
      <c r="R76">
        <v>863.09400000000005</v>
      </c>
      <c r="S76">
        <v>1181.9280000000001</v>
      </c>
      <c r="T76">
        <v>1191.8920000000001</v>
      </c>
      <c r="U76">
        <v>65.846000000000004</v>
      </c>
      <c r="V76">
        <v>1027.4929999999999</v>
      </c>
      <c r="W76">
        <v>1315.191</v>
      </c>
      <c r="X76">
        <v>2548.183</v>
      </c>
      <c r="Y76">
        <v>2548.183</v>
      </c>
      <c r="Z76">
        <v>58.124000000000002</v>
      </c>
      <c r="AA76">
        <v>2383.7840000000001</v>
      </c>
      <c r="AB76">
        <v>2753.681</v>
      </c>
      <c r="AC76">
        <v>3.26</v>
      </c>
      <c r="AD76">
        <v>188.786</v>
      </c>
      <c r="AE76">
        <v>186.52600000000001</v>
      </c>
      <c r="AF76">
        <v>13.571999999999999</v>
      </c>
      <c r="AG76">
        <v>175.09899999999999</v>
      </c>
      <c r="AH76">
        <v>0.85526315789473684</v>
      </c>
      <c r="AI76">
        <v>295.97300000000001</v>
      </c>
      <c r="AJ76">
        <v>0</v>
      </c>
      <c r="AK76">
        <v>0.96699999999999997</v>
      </c>
      <c r="AL76">
        <v>-20.004000000000001</v>
      </c>
      <c r="AM76">
        <v>356.53300000000002</v>
      </c>
      <c r="AN76">
        <v>359.63299999999998</v>
      </c>
      <c r="AO76">
        <v>15.009</v>
      </c>
      <c r="AP76">
        <v>269.72500000000002</v>
      </c>
      <c r="AQ76">
        <v>404.58699999999999</v>
      </c>
      <c r="AR76">
        <v>2565.8429999999998</v>
      </c>
      <c r="AS76">
        <v>2607.3389999999999</v>
      </c>
      <c r="AT76">
        <v>167.22200000000001</v>
      </c>
      <c r="AU76">
        <v>1663.3030000000001</v>
      </c>
      <c r="AV76">
        <v>2652.2939999999999</v>
      </c>
      <c r="AW76">
        <v>3333.931</v>
      </c>
      <c r="AX76">
        <v>3281.6509999999998</v>
      </c>
      <c r="AY76">
        <v>205.874</v>
      </c>
      <c r="AZ76">
        <v>2697.248</v>
      </c>
      <c r="BA76">
        <v>4225.6880000000001</v>
      </c>
      <c r="BB76">
        <v>3.04</v>
      </c>
      <c r="BC76">
        <v>192.37100000000001</v>
      </c>
      <c r="BD76">
        <v>193.3</v>
      </c>
      <c r="BE76">
        <v>11.301</v>
      </c>
      <c r="BF76">
        <v>110.884</v>
      </c>
      <c r="BG76">
        <v>6.1728395061728392E-3</v>
      </c>
      <c r="BH76">
        <v>226.81899999999999</v>
      </c>
      <c r="BI76">
        <v>1.2962962962962963E-2</v>
      </c>
      <c r="BJ76">
        <v>2.488</v>
      </c>
      <c r="BK76">
        <v>-24.123999999999999</v>
      </c>
      <c r="BL76">
        <v>344.13099999999997</v>
      </c>
      <c r="BM76">
        <v>319.89600000000002</v>
      </c>
      <c r="BN76">
        <v>38.063000000000002</v>
      </c>
      <c r="BO76">
        <v>274.197</v>
      </c>
      <c r="BP76">
        <v>502.69400000000002</v>
      </c>
      <c r="BQ76">
        <v>1073.0239999999999</v>
      </c>
      <c r="BR76">
        <v>1051.088</v>
      </c>
      <c r="BS76">
        <v>63.457999999999998</v>
      </c>
      <c r="BT76">
        <v>1005.389</v>
      </c>
      <c r="BU76">
        <v>1370.9839999999999</v>
      </c>
      <c r="BV76">
        <v>3980.2069999999999</v>
      </c>
      <c r="BW76">
        <v>4021.5540000000001</v>
      </c>
      <c r="BX76">
        <v>283.34800000000001</v>
      </c>
      <c r="BY76">
        <v>2833.3679999999999</v>
      </c>
      <c r="BZ76">
        <v>4295.7510000000002</v>
      </c>
      <c r="CA76">
        <v>3.24</v>
      </c>
      <c r="CB76">
        <v>6</v>
      </c>
      <c r="CC76">
        <v>2</v>
      </c>
      <c r="CD76">
        <v>0</v>
      </c>
      <c r="CE76">
        <v>3</v>
      </c>
      <c r="CF76">
        <v>1</v>
      </c>
    </row>
    <row r="77" spans="1:84" x14ac:dyDescent="0.35">
      <c r="A77" t="s">
        <v>413</v>
      </c>
      <c r="B77" t="str">
        <f t="shared" si="7"/>
        <v xml:space="preserve"> gi_mo_2000_12_02_831</v>
      </c>
      <c r="C77" s="1">
        <f t="shared" si="6"/>
        <v>45790</v>
      </c>
      <c r="D77" t="s">
        <v>78</v>
      </c>
      <c r="E77">
        <v>211.68100000000001</v>
      </c>
      <c r="F77">
        <v>211.72800000000001</v>
      </c>
      <c r="G77">
        <v>2.2450000000000001</v>
      </c>
      <c r="H77">
        <v>207.87899999999999</v>
      </c>
      <c r="I77">
        <v>0.11327433628318585</v>
      </c>
      <c r="J77">
        <v>230.54499999999999</v>
      </c>
      <c r="K77">
        <v>0</v>
      </c>
      <c r="L77">
        <v>0.30199999999999999</v>
      </c>
      <c r="M77">
        <v>-29.917000000000002</v>
      </c>
      <c r="N77">
        <v>605.64800000000002</v>
      </c>
      <c r="O77">
        <v>614.63400000000001</v>
      </c>
      <c r="P77">
        <v>104.068</v>
      </c>
      <c r="Q77">
        <v>409.75599999999997</v>
      </c>
      <c r="R77">
        <v>819.51199999999994</v>
      </c>
      <c r="S77">
        <v>1227.92</v>
      </c>
      <c r="T77">
        <v>1229.268</v>
      </c>
      <c r="U77">
        <v>63.725999999999999</v>
      </c>
      <c r="V77">
        <v>1075.6099999999999</v>
      </c>
      <c r="W77">
        <v>1485.366</v>
      </c>
      <c r="X77">
        <v>2397.433</v>
      </c>
      <c r="Y77">
        <v>2407.317</v>
      </c>
      <c r="Z77">
        <v>72.396000000000001</v>
      </c>
      <c r="AA77">
        <v>2100</v>
      </c>
      <c r="AB77">
        <v>2560.9760000000001</v>
      </c>
      <c r="AC77">
        <v>2.2599999999999998</v>
      </c>
      <c r="AD77">
        <v>212.47800000000001</v>
      </c>
      <c r="AE77">
        <v>211.72800000000001</v>
      </c>
      <c r="AF77">
        <v>3.722</v>
      </c>
      <c r="AG77">
        <v>209.857</v>
      </c>
      <c r="AH77">
        <v>0.59782608695652173</v>
      </c>
      <c r="AI77">
        <v>247.75299999999999</v>
      </c>
      <c r="AJ77">
        <v>0</v>
      </c>
      <c r="AK77">
        <v>0.44400000000000001</v>
      </c>
      <c r="AL77">
        <v>-31.173999999999999</v>
      </c>
      <c r="AM77">
        <v>312.99200000000002</v>
      </c>
      <c r="AN77">
        <v>307.67399999999998</v>
      </c>
      <c r="AO77">
        <v>19.077999999999999</v>
      </c>
      <c r="AP77">
        <v>256.39499999999998</v>
      </c>
      <c r="AQ77">
        <v>410.233</v>
      </c>
      <c r="AR77">
        <v>1587.7750000000001</v>
      </c>
      <c r="AS77">
        <v>1538.3720000000001</v>
      </c>
      <c r="AT77">
        <v>199.572</v>
      </c>
      <c r="AU77">
        <v>1179.4190000000001</v>
      </c>
      <c r="AV77">
        <v>2051.163</v>
      </c>
      <c r="AW77">
        <v>3653.634</v>
      </c>
      <c r="AX77">
        <v>3640.8139999999999</v>
      </c>
      <c r="AY77">
        <v>191.98</v>
      </c>
      <c r="AZ77">
        <v>3076.7440000000001</v>
      </c>
      <c r="BA77">
        <v>4256.1629999999996</v>
      </c>
      <c r="BB77">
        <v>2.76</v>
      </c>
      <c r="BC77">
        <v>209.67599999999999</v>
      </c>
      <c r="BD77">
        <v>209.64400000000001</v>
      </c>
      <c r="BE77">
        <v>2.2229999999999999</v>
      </c>
      <c r="BF77">
        <v>202.959</v>
      </c>
      <c r="BG77">
        <v>0.57295081967213113</v>
      </c>
      <c r="BH77">
        <v>215.57300000000001</v>
      </c>
      <c r="BI77">
        <v>0.99016393442622952</v>
      </c>
      <c r="BJ77">
        <v>0.54</v>
      </c>
      <c r="BK77">
        <v>-24.818999999999999</v>
      </c>
      <c r="BL77">
        <v>363.13200000000001</v>
      </c>
      <c r="BM77">
        <v>353.608</v>
      </c>
      <c r="BN77">
        <v>19.84</v>
      </c>
      <c r="BO77">
        <v>353.608</v>
      </c>
      <c r="BP77">
        <v>404.12400000000002</v>
      </c>
      <c r="BQ77">
        <v>1037.3969999999999</v>
      </c>
      <c r="BR77">
        <v>1010.309</v>
      </c>
      <c r="BS77">
        <v>79.674000000000007</v>
      </c>
      <c r="BT77">
        <v>959.79399999999998</v>
      </c>
      <c r="BU77">
        <v>1363.9179999999999</v>
      </c>
      <c r="BV77">
        <v>3505.0279999999998</v>
      </c>
      <c r="BW77">
        <v>3232.99</v>
      </c>
      <c r="BX77">
        <v>625.71699999999998</v>
      </c>
      <c r="BY77">
        <v>2626.8040000000001</v>
      </c>
      <c r="BZ77">
        <v>4697.9380000000001</v>
      </c>
      <c r="CA77">
        <v>2.44</v>
      </c>
      <c r="CB77">
        <v>2</v>
      </c>
      <c r="CC77">
        <v>1</v>
      </c>
      <c r="CD77">
        <v>0</v>
      </c>
      <c r="CE77">
        <v>2</v>
      </c>
      <c r="CF77">
        <v>0</v>
      </c>
    </row>
    <row r="78" spans="1:84" x14ac:dyDescent="0.35">
      <c r="A78" t="s">
        <v>487</v>
      </c>
      <c r="B78" t="str">
        <f t="shared" si="7"/>
        <v xml:space="preserve"> gi_ro_2004_07_30_589</v>
      </c>
      <c r="C78" s="1">
        <f t="shared" si="6"/>
        <v>45762</v>
      </c>
      <c r="D78" t="s">
        <v>78</v>
      </c>
      <c r="E78">
        <v>205.971</v>
      </c>
      <c r="F78">
        <v>205.11600000000001</v>
      </c>
      <c r="G78">
        <v>8.782</v>
      </c>
      <c r="H78">
        <v>188.46199999999999</v>
      </c>
      <c r="I78">
        <v>0.02</v>
      </c>
      <c r="J78">
        <v>269.37200000000001</v>
      </c>
      <c r="K78">
        <v>0</v>
      </c>
      <c r="L78">
        <v>0.76600000000000001</v>
      </c>
      <c r="M78">
        <v>-30.271999999999998</v>
      </c>
      <c r="N78">
        <v>520.61900000000003</v>
      </c>
      <c r="O78">
        <v>500</v>
      </c>
      <c r="P78">
        <v>98.623999999999995</v>
      </c>
      <c r="Q78">
        <v>350</v>
      </c>
      <c r="R78">
        <v>1050</v>
      </c>
      <c r="S78">
        <v>1164.796</v>
      </c>
      <c r="T78">
        <v>1150</v>
      </c>
      <c r="U78">
        <v>73.641999999999996</v>
      </c>
      <c r="V78">
        <v>1100</v>
      </c>
      <c r="W78">
        <v>1700</v>
      </c>
      <c r="X78">
        <v>2293.3670000000002</v>
      </c>
      <c r="Y78">
        <v>2275</v>
      </c>
      <c r="Z78">
        <v>224.6</v>
      </c>
      <c r="AA78">
        <v>2050</v>
      </c>
      <c r="AB78">
        <v>4000</v>
      </c>
      <c r="AC78">
        <v>2</v>
      </c>
      <c r="AD78">
        <v>205.63800000000001</v>
      </c>
      <c r="AE78">
        <v>205.458</v>
      </c>
      <c r="AF78">
        <v>2.4750000000000001</v>
      </c>
      <c r="AG78">
        <v>195.50299999999999</v>
      </c>
      <c r="AH78">
        <v>0</v>
      </c>
      <c r="AI78">
        <v>213.63300000000001</v>
      </c>
      <c r="AJ78">
        <v>0.98489583333333341</v>
      </c>
      <c r="AK78">
        <v>0.36799999999999999</v>
      </c>
      <c r="AL78">
        <v>-30.298999999999999</v>
      </c>
      <c r="AM78">
        <v>350.18900000000002</v>
      </c>
      <c r="AN78">
        <v>348.02699999999999</v>
      </c>
      <c r="AO78">
        <v>14.661</v>
      </c>
      <c r="AP78">
        <v>348.02699999999999</v>
      </c>
      <c r="AQ78">
        <v>447.46300000000002</v>
      </c>
      <c r="AR78">
        <v>2418.3130000000001</v>
      </c>
      <c r="AS78">
        <v>2436.1889999999999</v>
      </c>
      <c r="AT78">
        <v>32.883000000000003</v>
      </c>
      <c r="AU78">
        <v>2336.7530000000002</v>
      </c>
      <c r="AV78">
        <v>2485.9079999999999</v>
      </c>
      <c r="AW78">
        <v>2820.183</v>
      </c>
      <c r="AX78">
        <v>2833.9349999999999</v>
      </c>
      <c r="AY78">
        <v>80.994</v>
      </c>
      <c r="AZ78">
        <v>2635.0619999999999</v>
      </c>
      <c r="BA78">
        <v>3032.8069999999998</v>
      </c>
      <c r="BB78">
        <v>1.92</v>
      </c>
      <c r="BC78">
        <v>207.63900000000001</v>
      </c>
      <c r="BD78">
        <v>206.90299999999999</v>
      </c>
      <c r="BE78">
        <v>5.5259999999999998</v>
      </c>
      <c r="BF78">
        <v>201.89699999999999</v>
      </c>
      <c r="BG78">
        <v>0.30902600713921469</v>
      </c>
      <c r="BH78">
        <v>235.82900000000001</v>
      </c>
      <c r="BI78">
        <v>1</v>
      </c>
      <c r="BJ78">
        <v>0.47199999999999998</v>
      </c>
      <c r="BK78">
        <v>-29.065999999999999</v>
      </c>
      <c r="BL78">
        <v>351.06400000000002</v>
      </c>
      <c r="BM78">
        <v>350</v>
      </c>
      <c r="BN78">
        <v>20.710999999999999</v>
      </c>
      <c r="BO78">
        <v>250</v>
      </c>
      <c r="BP78">
        <v>450</v>
      </c>
      <c r="BQ78">
        <v>1057.3530000000001</v>
      </c>
      <c r="BR78">
        <v>1000</v>
      </c>
      <c r="BS78">
        <v>115.01600000000001</v>
      </c>
      <c r="BT78">
        <v>950</v>
      </c>
      <c r="BU78">
        <v>1500</v>
      </c>
      <c r="BV78">
        <v>2754.6390000000001</v>
      </c>
      <c r="BW78">
        <v>2700</v>
      </c>
      <c r="BX78">
        <v>279.423</v>
      </c>
      <c r="BY78">
        <v>2250</v>
      </c>
      <c r="BZ78">
        <v>3700</v>
      </c>
      <c r="CA78">
        <v>1.9610000000000001</v>
      </c>
      <c r="CB78">
        <v>4</v>
      </c>
      <c r="CC78">
        <v>1</v>
      </c>
      <c r="CD78">
        <v>0</v>
      </c>
      <c r="CE78">
        <v>2</v>
      </c>
      <c r="CF78">
        <v>2</v>
      </c>
    </row>
    <row r="79" spans="1:84" x14ac:dyDescent="0.35">
      <c r="A79" t="s">
        <v>488</v>
      </c>
      <c r="B79" t="str">
        <f t="shared" si="7"/>
        <v xml:space="preserve"> gi_ru_2005_03_08_033</v>
      </c>
      <c r="C79" s="1">
        <f t="shared" si="6"/>
        <v>45762</v>
      </c>
      <c r="D79" t="s">
        <v>78</v>
      </c>
      <c r="E79">
        <v>160.709</v>
      </c>
      <c r="F79">
        <v>158.91900000000001</v>
      </c>
      <c r="G79">
        <v>4.3079999999999998</v>
      </c>
      <c r="H79">
        <v>156.86000000000001</v>
      </c>
      <c r="I79">
        <v>0.5348484848484848</v>
      </c>
      <c r="J79">
        <v>173.03800000000001</v>
      </c>
      <c r="K79">
        <v>0.12272727272727273</v>
      </c>
      <c r="L79">
        <v>1.554</v>
      </c>
      <c r="M79">
        <v>-20.643999999999998</v>
      </c>
      <c r="N79">
        <v>732.11599999999999</v>
      </c>
      <c r="O79">
        <v>730.51400000000001</v>
      </c>
      <c r="P79">
        <v>57.228999999999999</v>
      </c>
      <c r="Q79">
        <v>653.61800000000005</v>
      </c>
      <c r="R79">
        <v>922.755</v>
      </c>
      <c r="S79">
        <v>1045.789</v>
      </c>
      <c r="T79">
        <v>1038.0989999999999</v>
      </c>
      <c r="U79">
        <v>32.046999999999997</v>
      </c>
      <c r="V79">
        <v>999.65099999999995</v>
      </c>
      <c r="W79">
        <v>1153.444</v>
      </c>
      <c r="X79">
        <v>3035.8</v>
      </c>
      <c r="Y79">
        <v>3037.402</v>
      </c>
      <c r="Z79">
        <v>93.135000000000005</v>
      </c>
      <c r="AA79">
        <v>2845.1610000000001</v>
      </c>
      <c r="AB79">
        <v>3191.194</v>
      </c>
      <c r="AC79">
        <v>0.66</v>
      </c>
      <c r="AD79">
        <v>169.334</v>
      </c>
      <c r="AE79">
        <v>166.23599999999999</v>
      </c>
      <c r="AF79">
        <v>8.5549999999999997</v>
      </c>
      <c r="AG79">
        <v>164.29</v>
      </c>
      <c r="AH79">
        <v>0.37999999999999995</v>
      </c>
      <c r="AI79">
        <v>198.012</v>
      </c>
      <c r="AJ79">
        <v>0</v>
      </c>
      <c r="AK79">
        <v>0.97199999999999998</v>
      </c>
      <c r="AL79">
        <v>-25.588000000000001</v>
      </c>
      <c r="AM79">
        <v>300.12599999999998</v>
      </c>
      <c r="AN79">
        <v>285.30500000000001</v>
      </c>
      <c r="AO79">
        <v>20.068000000000001</v>
      </c>
      <c r="AP79">
        <v>285.30500000000001</v>
      </c>
      <c r="AQ79">
        <v>326.06299999999999</v>
      </c>
      <c r="AR79">
        <v>2445.471</v>
      </c>
      <c r="AS79">
        <v>2526.9870000000001</v>
      </c>
      <c r="AT79">
        <v>209.357</v>
      </c>
      <c r="AU79">
        <v>1752.588</v>
      </c>
      <c r="AV79">
        <v>2567.7449999999999</v>
      </c>
      <c r="AW79">
        <v>3154.1320000000001</v>
      </c>
      <c r="AX79">
        <v>3179.1129999999998</v>
      </c>
      <c r="AY79">
        <v>157.38999999999999</v>
      </c>
      <c r="AZ79">
        <v>2771.5340000000001</v>
      </c>
      <c r="BA79">
        <v>3505.1759999999999</v>
      </c>
      <c r="BB79">
        <v>0.8</v>
      </c>
      <c r="BC79">
        <v>167.96600000000001</v>
      </c>
      <c r="BD79">
        <v>166.32499999999999</v>
      </c>
      <c r="BE79">
        <v>5.1239999999999997</v>
      </c>
      <c r="BF79">
        <v>164.37700000000001</v>
      </c>
      <c r="BG79">
        <v>0.91627906976744189</v>
      </c>
      <c r="BH79">
        <v>191.739</v>
      </c>
      <c r="BI79">
        <v>0</v>
      </c>
      <c r="BJ79">
        <v>0.96699999999999997</v>
      </c>
      <c r="BK79">
        <v>-24.914000000000001</v>
      </c>
      <c r="BL79">
        <v>343.18</v>
      </c>
      <c r="BM79">
        <v>324.26499999999999</v>
      </c>
      <c r="BN79">
        <v>20.567</v>
      </c>
      <c r="BO79">
        <v>324.26499999999999</v>
      </c>
      <c r="BP79">
        <v>364.798</v>
      </c>
      <c r="BQ79">
        <v>1030.6990000000001</v>
      </c>
      <c r="BR79">
        <v>972.79399999999998</v>
      </c>
      <c r="BS79">
        <v>109.819</v>
      </c>
      <c r="BT79">
        <v>972.79399999999998</v>
      </c>
      <c r="BU79">
        <v>1337.5920000000001</v>
      </c>
      <c r="BV79">
        <v>3249.8</v>
      </c>
      <c r="BW79">
        <v>3262.9140000000002</v>
      </c>
      <c r="BX79">
        <v>144.07499999999999</v>
      </c>
      <c r="BY79">
        <v>2837.3159999999998</v>
      </c>
      <c r="BZ79">
        <v>3485.846</v>
      </c>
      <c r="CA79">
        <v>0.86</v>
      </c>
    </row>
    <row r="80" spans="1:84" x14ac:dyDescent="0.35">
      <c r="A80" t="s">
        <v>489</v>
      </c>
      <c r="B80" t="str">
        <f t="shared" si="7"/>
        <v xml:space="preserve"> gi_so_2005_09_11_398</v>
      </c>
      <c r="C80" s="1">
        <f t="shared" si="6"/>
        <v>45762</v>
      </c>
      <c r="D80" t="s">
        <v>78</v>
      </c>
      <c r="E80">
        <v>193.9</v>
      </c>
      <c r="F80">
        <v>193.66399999999999</v>
      </c>
      <c r="G80">
        <v>2.948</v>
      </c>
      <c r="H80">
        <v>190.08600000000001</v>
      </c>
      <c r="I80">
        <v>0.2810185185185185</v>
      </c>
      <c r="J80">
        <v>214.673</v>
      </c>
      <c r="K80">
        <v>0</v>
      </c>
      <c r="L80">
        <v>0.52700000000000002</v>
      </c>
      <c r="M80">
        <v>-29.248000000000001</v>
      </c>
      <c r="N80">
        <v>515.61</v>
      </c>
      <c r="O80">
        <v>512.24900000000002</v>
      </c>
      <c r="P80">
        <v>35.723999999999997</v>
      </c>
      <c r="Q80">
        <v>419.113</v>
      </c>
      <c r="R80">
        <v>745.09</v>
      </c>
      <c r="S80">
        <v>1015.074</v>
      </c>
      <c r="T80">
        <v>1024.498</v>
      </c>
      <c r="U80">
        <v>43.24</v>
      </c>
      <c r="V80">
        <v>977.93</v>
      </c>
      <c r="W80">
        <v>1210.771</v>
      </c>
      <c r="X80">
        <v>2757.3969999999999</v>
      </c>
      <c r="Y80">
        <v>2747.518</v>
      </c>
      <c r="Z80">
        <v>127.666</v>
      </c>
      <c r="AA80">
        <v>2421.5419999999999</v>
      </c>
      <c r="AB80">
        <v>2980.3589999999999</v>
      </c>
      <c r="AC80">
        <v>2.16</v>
      </c>
      <c r="AD80">
        <v>208.22399999999999</v>
      </c>
      <c r="AE80">
        <v>207.32</v>
      </c>
      <c r="AF80">
        <v>3.6909999999999998</v>
      </c>
      <c r="AG80">
        <v>200.58500000000001</v>
      </c>
      <c r="AH80">
        <v>0</v>
      </c>
      <c r="AI80">
        <v>227.655</v>
      </c>
      <c r="AJ80">
        <v>0.97455357142857124</v>
      </c>
      <c r="AK80">
        <v>0.755</v>
      </c>
      <c r="AL80">
        <v>-25.007999999999999</v>
      </c>
      <c r="AM80">
        <v>349.14100000000002</v>
      </c>
      <c r="AN80">
        <v>349.60399999999998</v>
      </c>
      <c r="AO80">
        <v>8.35</v>
      </c>
      <c r="AP80">
        <v>299.66000000000003</v>
      </c>
      <c r="AQ80">
        <v>399.54700000000003</v>
      </c>
      <c r="AR80">
        <v>2399.1489999999999</v>
      </c>
      <c r="AS80">
        <v>2447.2249999999999</v>
      </c>
      <c r="AT80">
        <v>244.18299999999999</v>
      </c>
      <c r="AU80">
        <v>1198.6410000000001</v>
      </c>
      <c r="AV80">
        <v>2547.1120000000001</v>
      </c>
      <c r="AW80">
        <v>2935.308</v>
      </c>
      <c r="AX80">
        <v>2946.6590000000001</v>
      </c>
      <c r="AY80">
        <v>163.86</v>
      </c>
      <c r="AZ80">
        <v>2247.4520000000002</v>
      </c>
      <c r="BA80">
        <v>3196.3760000000002</v>
      </c>
      <c r="BB80">
        <v>2.2400000000000002</v>
      </c>
      <c r="BC80">
        <v>221.40700000000001</v>
      </c>
      <c r="BD80">
        <v>222.56700000000001</v>
      </c>
      <c r="BE80">
        <v>3.766</v>
      </c>
      <c r="BF80">
        <v>201.37</v>
      </c>
      <c r="BG80">
        <v>0</v>
      </c>
      <c r="BH80">
        <v>226.32</v>
      </c>
      <c r="BI80">
        <v>0.34227272727272723</v>
      </c>
      <c r="BJ80">
        <v>0.38700000000000001</v>
      </c>
      <c r="BK80">
        <v>-31.369</v>
      </c>
      <c r="BL80">
        <v>427.27800000000002</v>
      </c>
      <c r="BM80">
        <v>428.67599999999999</v>
      </c>
      <c r="BN80">
        <v>8578</v>
      </c>
      <c r="BO80">
        <v>375.09100000000001</v>
      </c>
      <c r="BP80">
        <v>428.67599999999999</v>
      </c>
      <c r="BQ80">
        <v>921.44200000000001</v>
      </c>
      <c r="BR80">
        <v>910.93600000000004</v>
      </c>
      <c r="BS80">
        <v>60.341000000000001</v>
      </c>
      <c r="BT80">
        <v>910.93600000000004</v>
      </c>
      <c r="BU80">
        <v>1500.365</v>
      </c>
      <c r="BV80">
        <v>3226.6149999999998</v>
      </c>
      <c r="BW80">
        <v>3161.482</v>
      </c>
      <c r="BX80">
        <v>258.36799999999999</v>
      </c>
      <c r="BY80">
        <v>2893.56</v>
      </c>
      <c r="BZ80">
        <v>4233.1710000000003</v>
      </c>
      <c r="CA80">
        <v>2.2000000000000002</v>
      </c>
      <c r="CB80">
        <v>6</v>
      </c>
      <c r="CC80">
        <v>3</v>
      </c>
      <c r="CD80">
        <v>0</v>
      </c>
      <c r="CE80">
        <v>2</v>
      </c>
      <c r="CF80">
        <v>0</v>
      </c>
    </row>
    <row r="81" spans="1:84" x14ac:dyDescent="0.35">
      <c r="A81" t="s">
        <v>490</v>
      </c>
      <c r="B81" t="str">
        <f t="shared" si="7"/>
        <v xml:space="preserve"> gi_to_2004_06_25_982</v>
      </c>
      <c r="C81" s="1">
        <f t="shared" si="6"/>
        <v>45762</v>
      </c>
      <c r="D81" t="s">
        <v>78</v>
      </c>
      <c r="E81">
        <v>184.27199999999999</v>
      </c>
      <c r="F81">
        <v>183.58699999999999</v>
      </c>
      <c r="G81">
        <v>4.4809999999999999</v>
      </c>
      <c r="H81">
        <v>168.96600000000001</v>
      </c>
      <c r="I81">
        <v>0.99230769230769234</v>
      </c>
      <c r="J81">
        <v>205.66300000000001</v>
      </c>
      <c r="K81">
        <v>1.3609467455621301E-2</v>
      </c>
      <c r="L81">
        <v>0.55400000000000005</v>
      </c>
      <c r="M81">
        <v>-24.510999999999999</v>
      </c>
      <c r="N81">
        <v>865.88099999999997</v>
      </c>
      <c r="O81">
        <v>882.88300000000004</v>
      </c>
      <c r="P81">
        <v>78.177999999999997</v>
      </c>
      <c r="Q81">
        <v>441.44099999999997</v>
      </c>
      <c r="R81">
        <v>971.17100000000005</v>
      </c>
      <c r="S81">
        <v>1102.7090000000001</v>
      </c>
      <c r="T81">
        <v>1103.604</v>
      </c>
      <c r="U81">
        <v>45.612000000000002</v>
      </c>
      <c r="V81">
        <v>1015.3150000000001</v>
      </c>
      <c r="W81">
        <v>1456.7570000000001</v>
      </c>
      <c r="X81">
        <v>3783.8690000000001</v>
      </c>
      <c r="Y81">
        <v>3884.6849999999999</v>
      </c>
      <c r="Z81">
        <v>278.48099999999999</v>
      </c>
      <c r="AA81">
        <v>2825.2249999999999</v>
      </c>
      <c r="AB81">
        <v>4193.6940000000004</v>
      </c>
      <c r="AC81">
        <v>3.38</v>
      </c>
      <c r="AD81">
        <v>197.197</v>
      </c>
      <c r="AE81">
        <v>195.38</v>
      </c>
      <c r="AF81">
        <v>8.2720000000000002</v>
      </c>
      <c r="AG81">
        <v>190.203</v>
      </c>
      <c r="AH81">
        <v>0.98563218390804608</v>
      </c>
      <c r="AI81">
        <v>249.15299999999999</v>
      </c>
      <c r="AJ81">
        <v>0</v>
      </c>
      <c r="AK81">
        <v>0.54400000000000004</v>
      </c>
      <c r="AL81">
        <v>-29.875</v>
      </c>
      <c r="AM81">
        <v>334.67099999999999</v>
      </c>
      <c r="AN81">
        <v>330.51400000000001</v>
      </c>
      <c r="AO81">
        <v>13.422000000000001</v>
      </c>
      <c r="AP81">
        <v>330.51400000000001</v>
      </c>
      <c r="AQ81">
        <v>377.73</v>
      </c>
      <c r="AR81">
        <v>1486.7070000000001</v>
      </c>
      <c r="AS81">
        <v>1510.921</v>
      </c>
      <c r="AT81">
        <v>119.58199999999999</v>
      </c>
      <c r="AU81">
        <v>1227.623</v>
      </c>
      <c r="AV81">
        <v>1699.7860000000001</v>
      </c>
      <c r="AW81">
        <v>3839.8710000000001</v>
      </c>
      <c r="AX81">
        <v>3871.7339999999999</v>
      </c>
      <c r="AY81">
        <v>145.37700000000001</v>
      </c>
      <c r="AZ81">
        <v>3399.5720000000001</v>
      </c>
      <c r="BA81">
        <v>4296.6809999999996</v>
      </c>
      <c r="BB81">
        <v>3.48</v>
      </c>
      <c r="BC81">
        <v>189.31399999999999</v>
      </c>
      <c r="BD81">
        <v>188.69200000000001</v>
      </c>
      <c r="BE81">
        <v>4.9320000000000004</v>
      </c>
      <c r="BF81">
        <v>173.81800000000001</v>
      </c>
      <c r="BG81">
        <v>0.98857868020304573</v>
      </c>
      <c r="BH81">
        <v>222.727</v>
      </c>
      <c r="BI81">
        <v>1.0659898477157361E-2</v>
      </c>
      <c r="BJ81">
        <v>0.50900000000000001</v>
      </c>
      <c r="BK81">
        <v>-31.212</v>
      </c>
      <c r="BL81">
        <v>370.86</v>
      </c>
      <c r="BM81">
        <v>365.21699999999998</v>
      </c>
      <c r="BN81">
        <v>15.83</v>
      </c>
      <c r="BO81">
        <v>319.565</v>
      </c>
      <c r="BP81">
        <v>410.87</v>
      </c>
      <c r="BQ81">
        <v>1007.115</v>
      </c>
      <c r="BR81">
        <v>1004.348</v>
      </c>
      <c r="BS81">
        <v>15.894</v>
      </c>
      <c r="BT81">
        <v>958.69600000000003</v>
      </c>
      <c r="BU81">
        <v>1050</v>
      </c>
      <c r="BV81">
        <v>3997.498</v>
      </c>
      <c r="BW81">
        <v>4017.3910000000001</v>
      </c>
      <c r="BX81">
        <v>204.90700000000001</v>
      </c>
      <c r="BY81">
        <v>2876.087</v>
      </c>
      <c r="BZ81">
        <v>4382.6090000000004</v>
      </c>
      <c r="CA81">
        <v>3.94</v>
      </c>
      <c r="CB81">
        <v>6</v>
      </c>
      <c r="CC81">
        <v>0</v>
      </c>
      <c r="CD81">
        <v>0</v>
      </c>
      <c r="CE81">
        <v>1</v>
      </c>
      <c r="CF81">
        <v>4</v>
      </c>
    </row>
    <row r="82" spans="1:84" x14ac:dyDescent="0.35">
      <c r="A82" t="s">
        <v>491</v>
      </c>
      <c r="B82" t="str">
        <f t="shared" si="7"/>
        <v xml:space="preserve"> gi_tr_2005_09_08_335</v>
      </c>
      <c r="C82" s="1">
        <f t="shared" si="6"/>
        <v>45762</v>
      </c>
      <c r="D82" t="s">
        <v>78</v>
      </c>
      <c r="E82">
        <v>185.35499999999999</v>
      </c>
      <c r="F82">
        <v>183.85900000000001</v>
      </c>
      <c r="G82">
        <v>4.976</v>
      </c>
      <c r="H82">
        <v>181.268</v>
      </c>
      <c r="I82">
        <v>0.41180555555555554</v>
      </c>
      <c r="J82">
        <v>213.63300000000001</v>
      </c>
      <c r="K82">
        <v>0.98159722222222223</v>
      </c>
      <c r="L82">
        <v>0.46800000000000003</v>
      </c>
      <c r="M82">
        <v>-28.562000000000001</v>
      </c>
      <c r="N82">
        <v>688.07600000000002</v>
      </c>
      <c r="O82">
        <v>707.01400000000001</v>
      </c>
      <c r="P82">
        <v>51.359000000000002</v>
      </c>
      <c r="Q82">
        <v>486.072</v>
      </c>
      <c r="R82">
        <v>795.39099999999996</v>
      </c>
      <c r="S82">
        <v>1152.405</v>
      </c>
      <c r="T82">
        <v>1148.8979999999999</v>
      </c>
      <c r="U82">
        <v>40.539000000000001</v>
      </c>
      <c r="V82">
        <v>1016.333</v>
      </c>
      <c r="W82">
        <v>1237.2750000000001</v>
      </c>
      <c r="X82">
        <v>3187.5250000000001</v>
      </c>
      <c r="Y82">
        <v>3181.5630000000001</v>
      </c>
      <c r="Z82">
        <v>227.68700000000001</v>
      </c>
      <c r="AA82">
        <v>2651.3029999999999</v>
      </c>
      <c r="AB82">
        <v>3667.6350000000002</v>
      </c>
      <c r="AC82">
        <v>2.88</v>
      </c>
      <c r="AD82">
        <v>191.48500000000001</v>
      </c>
      <c r="AE82">
        <v>190.321</v>
      </c>
      <c r="AF82">
        <v>5.0960000000000001</v>
      </c>
      <c r="AG82">
        <v>186.52600000000001</v>
      </c>
      <c r="AH82">
        <v>0.94311926605504581</v>
      </c>
      <c r="AI82">
        <v>223.858</v>
      </c>
      <c r="AJ82">
        <v>0</v>
      </c>
      <c r="AK82">
        <v>0.497</v>
      </c>
      <c r="AL82">
        <v>-29.41</v>
      </c>
      <c r="AM82">
        <v>378.98599999999999</v>
      </c>
      <c r="AN82">
        <v>361.846</v>
      </c>
      <c r="AO82">
        <v>22.059000000000001</v>
      </c>
      <c r="AP82">
        <v>361.846</v>
      </c>
      <c r="AQ82">
        <v>407.077</v>
      </c>
      <c r="AR82">
        <v>2392.3850000000002</v>
      </c>
      <c r="AS82">
        <v>2397.2310000000002</v>
      </c>
      <c r="AT82">
        <v>117.21299999999999</v>
      </c>
      <c r="AU82">
        <v>2125.846</v>
      </c>
      <c r="AV82">
        <v>2578.154</v>
      </c>
      <c r="AW82">
        <v>4010.6170000000002</v>
      </c>
      <c r="AX82">
        <v>4025.538</v>
      </c>
      <c r="AY82">
        <v>160.27699999999999</v>
      </c>
      <c r="AZ82">
        <v>3120.9229999999998</v>
      </c>
      <c r="BA82">
        <v>4296.9229999999998</v>
      </c>
      <c r="BB82">
        <v>2.1800000000000002</v>
      </c>
      <c r="BC82">
        <v>202.614</v>
      </c>
      <c r="BD82">
        <v>201.76499999999999</v>
      </c>
      <c r="BE82">
        <v>3.5129999999999999</v>
      </c>
      <c r="BF82">
        <v>199.41900000000001</v>
      </c>
      <c r="BG82">
        <v>0.92666666666666675</v>
      </c>
      <c r="BH82">
        <v>228.49700000000001</v>
      </c>
      <c r="BI82">
        <v>0</v>
      </c>
      <c r="BJ82">
        <v>0.41699999999999998</v>
      </c>
      <c r="BK82">
        <v>-29.992999999999999</v>
      </c>
      <c r="BL82">
        <v>389.80599999999998</v>
      </c>
      <c r="BM82">
        <v>388.11900000000003</v>
      </c>
      <c r="BN82">
        <v>11</v>
      </c>
      <c r="BO82">
        <v>388.11900000000003</v>
      </c>
      <c r="BP82">
        <v>485.149</v>
      </c>
      <c r="BQ82">
        <v>1022.046</v>
      </c>
      <c r="BR82">
        <v>1018.812</v>
      </c>
      <c r="BS82">
        <v>41.887999999999998</v>
      </c>
      <c r="BT82">
        <v>970.29700000000003</v>
      </c>
      <c r="BU82">
        <v>1261.386</v>
      </c>
      <c r="BV82">
        <v>4138.5280000000002</v>
      </c>
      <c r="BW82">
        <v>4172.277</v>
      </c>
      <c r="BX82">
        <v>131.87700000000001</v>
      </c>
      <c r="BY82">
        <v>3056.4360000000001</v>
      </c>
      <c r="BZ82">
        <v>4317.8220000000001</v>
      </c>
      <c r="CA82">
        <v>2.4</v>
      </c>
    </row>
    <row r="83" spans="1:84" x14ac:dyDescent="0.35">
      <c r="A83" t="s">
        <v>492</v>
      </c>
      <c r="B83" t="str">
        <f t="shared" si="7"/>
        <v xml:space="preserve"> gr_pe_2005_11_17_273</v>
      </c>
      <c r="C83" s="1">
        <f t="shared" si="6"/>
        <v>45762</v>
      </c>
      <c r="D83" t="s">
        <v>78</v>
      </c>
      <c r="E83">
        <v>178.673</v>
      </c>
      <c r="F83">
        <v>178.13</v>
      </c>
      <c r="G83">
        <v>2.64</v>
      </c>
      <c r="H83">
        <v>175.697</v>
      </c>
      <c r="I83">
        <v>0.94901960784313721</v>
      </c>
      <c r="J83">
        <v>198.77699999999999</v>
      </c>
      <c r="K83">
        <v>0</v>
      </c>
      <c r="L83">
        <v>0.52400000000000002</v>
      </c>
      <c r="M83">
        <v>-25.364999999999998</v>
      </c>
      <c r="N83">
        <v>653.17499999999995</v>
      </c>
      <c r="O83">
        <v>619.02200000000005</v>
      </c>
      <c r="P83">
        <v>97.224999999999994</v>
      </c>
      <c r="Q83">
        <v>469.60300000000001</v>
      </c>
      <c r="R83">
        <v>981.89700000000005</v>
      </c>
      <c r="S83">
        <v>1239.4000000000001</v>
      </c>
      <c r="T83">
        <v>1238.0450000000001</v>
      </c>
      <c r="U83">
        <v>46.433</v>
      </c>
      <c r="V83">
        <v>1109.971</v>
      </c>
      <c r="W83">
        <v>1622.2650000000001</v>
      </c>
      <c r="X83">
        <v>2836.1509999999998</v>
      </c>
      <c r="Y83">
        <v>2817.6190000000001</v>
      </c>
      <c r="Z83">
        <v>231.679</v>
      </c>
      <c r="AA83">
        <v>2348.0149999999999</v>
      </c>
      <c r="AB83">
        <v>3842.2069999999999</v>
      </c>
      <c r="AC83">
        <v>3.06</v>
      </c>
      <c r="AD83">
        <v>179.167</v>
      </c>
      <c r="AE83">
        <v>177.61799999999999</v>
      </c>
      <c r="AF83">
        <v>7.109</v>
      </c>
      <c r="AG83">
        <v>175.398</v>
      </c>
      <c r="AH83">
        <v>0.31041666666666667</v>
      </c>
      <c r="AI83">
        <v>242.30799999999999</v>
      </c>
      <c r="AJ83">
        <v>0</v>
      </c>
      <c r="AK83">
        <v>0.55400000000000005</v>
      </c>
      <c r="AL83">
        <v>-29.835000000000001</v>
      </c>
      <c r="AM83">
        <v>363.35399999999998</v>
      </c>
      <c r="AN83">
        <v>342.85700000000003</v>
      </c>
      <c r="AO83">
        <v>38.484000000000002</v>
      </c>
      <c r="AP83">
        <v>342.85700000000003</v>
      </c>
      <c r="AQ83">
        <v>514.28599999999994</v>
      </c>
      <c r="AR83">
        <v>1962.6279999999999</v>
      </c>
      <c r="AS83">
        <v>1971.4290000000001</v>
      </c>
      <c r="AT83">
        <v>134.93100000000001</v>
      </c>
      <c r="AU83">
        <v>1500</v>
      </c>
      <c r="AV83">
        <v>2185.7139999999999</v>
      </c>
      <c r="AW83">
        <v>4234.7780000000002</v>
      </c>
      <c r="AX83">
        <v>4242.857</v>
      </c>
      <c r="AY83">
        <v>166.06100000000001</v>
      </c>
      <c r="AZ83">
        <v>3085.7139999999999</v>
      </c>
      <c r="BA83">
        <v>4671.4290000000001</v>
      </c>
      <c r="BB83">
        <v>2.88</v>
      </c>
      <c r="BC83">
        <v>178.09299999999999</v>
      </c>
      <c r="BD83">
        <v>177.15899999999999</v>
      </c>
      <c r="BE83">
        <v>3.669</v>
      </c>
      <c r="BF83">
        <v>172.36199999999999</v>
      </c>
      <c r="BG83">
        <v>0.97936507936507933</v>
      </c>
      <c r="BH83">
        <v>195.62700000000001</v>
      </c>
      <c r="BI83">
        <v>1.7460317460317461E-2</v>
      </c>
      <c r="BJ83">
        <v>0.439</v>
      </c>
      <c r="BK83">
        <v>-29.748000000000001</v>
      </c>
      <c r="BL83">
        <v>377.96100000000001</v>
      </c>
      <c r="BM83">
        <v>382.37</v>
      </c>
      <c r="BN83">
        <v>14.278</v>
      </c>
      <c r="BO83">
        <v>339.88400000000001</v>
      </c>
      <c r="BP83">
        <v>424.85500000000002</v>
      </c>
      <c r="BQ83">
        <v>1041.876</v>
      </c>
      <c r="BR83">
        <v>1019.653</v>
      </c>
      <c r="BS83">
        <v>52.091999999999999</v>
      </c>
      <c r="BT83">
        <v>1019.653</v>
      </c>
      <c r="BU83">
        <v>1359.538</v>
      </c>
      <c r="BV83">
        <v>3846.145</v>
      </c>
      <c r="BW83">
        <v>3866.1849999999999</v>
      </c>
      <c r="BX83">
        <v>189.56700000000001</v>
      </c>
      <c r="BY83">
        <v>2931.5030000000002</v>
      </c>
      <c r="BZ83">
        <v>4248.5550000000003</v>
      </c>
      <c r="CA83">
        <v>2.52</v>
      </c>
      <c r="CB83">
        <v>7</v>
      </c>
      <c r="CC83">
        <v>3</v>
      </c>
      <c r="CD83">
        <v>0</v>
      </c>
      <c r="CE83">
        <v>3</v>
      </c>
      <c r="CF83">
        <v>1</v>
      </c>
    </row>
    <row r="84" spans="1:84" x14ac:dyDescent="0.35">
      <c r="A84" t="s">
        <v>493</v>
      </c>
      <c r="B84" t="str">
        <f t="shared" si="7"/>
        <v xml:space="preserve"> hi_na_2005_03_08_339</v>
      </c>
      <c r="C84" s="1">
        <f t="shared" si="6"/>
        <v>45762</v>
      </c>
      <c r="D84" t="s">
        <v>78</v>
      </c>
      <c r="E84">
        <v>185.13900000000001</v>
      </c>
      <c r="F84">
        <v>184.85</v>
      </c>
      <c r="G84">
        <v>2.97</v>
      </c>
      <c r="H84">
        <v>180.52600000000001</v>
      </c>
      <c r="I84">
        <v>0.61459627329192545</v>
      </c>
      <c r="J84">
        <v>207.042</v>
      </c>
      <c r="K84">
        <v>0.98913043478260865</v>
      </c>
      <c r="L84">
        <v>0.52400000000000002</v>
      </c>
      <c r="M84">
        <v>-21.202999999999999</v>
      </c>
      <c r="N84">
        <v>770.99900000000002</v>
      </c>
      <c r="O84">
        <v>752.71100000000001</v>
      </c>
      <c r="P84">
        <v>53.424999999999997</v>
      </c>
      <c r="Q84">
        <v>575.60199999999998</v>
      </c>
      <c r="R84">
        <v>1106.9280000000001</v>
      </c>
      <c r="S84">
        <v>1133.424</v>
      </c>
      <c r="T84">
        <v>1106.9280000000001</v>
      </c>
      <c r="U84">
        <v>80.888999999999996</v>
      </c>
      <c r="V84">
        <v>1018.373</v>
      </c>
      <c r="W84">
        <v>1593.9760000000001</v>
      </c>
      <c r="X84">
        <v>3537.1439999999998</v>
      </c>
      <c r="Y84">
        <v>3542.1689999999999</v>
      </c>
      <c r="Z84">
        <v>207.41399999999999</v>
      </c>
      <c r="AA84">
        <v>3055.12</v>
      </c>
      <c r="AB84">
        <v>4471.9880000000003</v>
      </c>
      <c r="AC84">
        <v>3.22</v>
      </c>
      <c r="AD84">
        <v>191.10300000000001</v>
      </c>
      <c r="AE84">
        <v>190.43799999999999</v>
      </c>
      <c r="AF84">
        <v>7.61</v>
      </c>
      <c r="AG84">
        <v>172.941</v>
      </c>
      <c r="AH84">
        <v>8.1343283582089546E-2</v>
      </c>
      <c r="AI84">
        <v>220.65799999999999</v>
      </c>
      <c r="AJ84">
        <v>7.462686567164179E-3</v>
      </c>
      <c r="AK84">
        <v>1.0629999999999999</v>
      </c>
      <c r="AL84">
        <v>-27.657</v>
      </c>
      <c r="AM84">
        <v>312.387</v>
      </c>
      <c r="AN84">
        <v>320.89400000000001</v>
      </c>
      <c r="AO84">
        <v>21.265999999999998</v>
      </c>
      <c r="AP84">
        <v>229.21</v>
      </c>
      <c r="AQ84">
        <v>366.73599999999999</v>
      </c>
      <c r="AR84">
        <v>2354.145</v>
      </c>
      <c r="AS84">
        <v>2383.7840000000001</v>
      </c>
      <c r="AT84">
        <v>147.24799999999999</v>
      </c>
      <c r="AU84">
        <v>1696.154</v>
      </c>
      <c r="AV84">
        <v>2521.31</v>
      </c>
      <c r="AW84">
        <v>3643.87</v>
      </c>
      <c r="AX84">
        <v>3667.36</v>
      </c>
      <c r="AY84">
        <v>175.47300000000001</v>
      </c>
      <c r="AZ84">
        <v>2933.8879999999999</v>
      </c>
      <c r="BA84">
        <v>3988.2539999999999</v>
      </c>
      <c r="BB84">
        <v>2.68</v>
      </c>
      <c r="BC84">
        <v>191.56299999999999</v>
      </c>
      <c r="BD84">
        <v>190.43799999999999</v>
      </c>
      <c r="BE84">
        <v>3.532</v>
      </c>
      <c r="BF84">
        <v>186.52600000000001</v>
      </c>
      <c r="BG84">
        <v>0.64568345323741005</v>
      </c>
      <c r="BH84">
        <v>208.01900000000001</v>
      </c>
      <c r="BI84">
        <v>7.9136690647482015E-3</v>
      </c>
      <c r="BJ84">
        <v>0.42499999999999999</v>
      </c>
      <c r="BK84">
        <v>-27.431999999999999</v>
      </c>
      <c r="BL84">
        <v>363.72300000000001</v>
      </c>
      <c r="BM84">
        <v>364.08699999999999</v>
      </c>
      <c r="BN84">
        <v>20.431999999999999</v>
      </c>
      <c r="BO84">
        <v>273.065</v>
      </c>
      <c r="BP84">
        <v>546.13</v>
      </c>
      <c r="BQ84">
        <v>1049.4000000000001</v>
      </c>
      <c r="BR84">
        <v>1046.749</v>
      </c>
      <c r="BS84">
        <v>50.912999999999997</v>
      </c>
      <c r="BT84">
        <v>1001.2380000000001</v>
      </c>
      <c r="BU84">
        <v>1274.3030000000001</v>
      </c>
      <c r="BV84">
        <v>3558.2190000000001</v>
      </c>
      <c r="BW84">
        <v>3549.8449999999998</v>
      </c>
      <c r="BX84">
        <v>117.658</v>
      </c>
      <c r="BY84">
        <v>3231.2689999999998</v>
      </c>
      <c r="BZ84">
        <v>3822.91</v>
      </c>
      <c r="CA84">
        <v>2.78</v>
      </c>
    </row>
    <row r="85" spans="1:84" x14ac:dyDescent="0.35">
      <c r="A85" t="s">
        <v>494</v>
      </c>
      <c r="B85" t="str">
        <f t="shared" si="7"/>
        <v xml:space="preserve"> il_le_2005_11_13_728</v>
      </c>
      <c r="C85" s="1">
        <f t="shared" si="6"/>
        <v>45762</v>
      </c>
      <c r="D85" t="s">
        <v>78</v>
      </c>
      <c r="E85">
        <v>175.69800000000001</v>
      </c>
      <c r="F85">
        <v>173.76900000000001</v>
      </c>
      <c r="G85">
        <v>7.7869999999999999</v>
      </c>
      <c r="H85">
        <v>170.27</v>
      </c>
      <c r="I85">
        <v>0.55320512820512813</v>
      </c>
      <c r="J85">
        <v>211.43799999999999</v>
      </c>
      <c r="K85">
        <v>2.1794871794871797E-2</v>
      </c>
      <c r="L85">
        <v>0.56200000000000006</v>
      </c>
      <c r="M85">
        <v>-20.45</v>
      </c>
      <c r="N85">
        <v>763.26900000000001</v>
      </c>
      <c r="O85">
        <v>754.56299999999999</v>
      </c>
      <c r="P85">
        <v>56.143999999999998</v>
      </c>
      <c r="Q85">
        <v>628.80200000000002</v>
      </c>
      <c r="R85">
        <v>964.16300000000001</v>
      </c>
      <c r="S85">
        <v>1036.395</v>
      </c>
      <c r="T85">
        <v>1048.0039999999999</v>
      </c>
      <c r="U85">
        <v>35.021000000000001</v>
      </c>
      <c r="V85">
        <v>1006.0839999999999</v>
      </c>
      <c r="W85">
        <v>1173.7639999999999</v>
      </c>
      <c r="X85">
        <v>2785.433</v>
      </c>
      <c r="Y85">
        <v>2808.65</v>
      </c>
      <c r="Z85">
        <v>241.63499999999999</v>
      </c>
      <c r="AA85">
        <v>2221.768</v>
      </c>
      <c r="AB85">
        <v>3269.7719999999999</v>
      </c>
      <c r="AC85">
        <v>3.12</v>
      </c>
      <c r="AD85">
        <v>191.99799999999999</v>
      </c>
      <c r="AE85">
        <v>188.17500000000001</v>
      </c>
      <c r="AF85">
        <v>12.956</v>
      </c>
      <c r="AG85">
        <v>177.92500000000001</v>
      </c>
      <c r="AH85">
        <v>0.94810606060606062</v>
      </c>
      <c r="AI85">
        <v>237.46199999999999</v>
      </c>
      <c r="AJ85">
        <v>8.3333333333333332E-3</v>
      </c>
      <c r="AK85">
        <v>0.55000000000000004</v>
      </c>
      <c r="AL85">
        <v>-29.655999999999999</v>
      </c>
      <c r="AM85">
        <v>294</v>
      </c>
      <c r="AN85">
        <v>275.625</v>
      </c>
      <c r="AO85">
        <v>48.570999999999998</v>
      </c>
      <c r="AP85">
        <v>229.68700000000001</v>
      </c>
      <c r="AQ85">
        <v>551.25</v>
      </c>
      <c r="AR85">
        <v>2223.0149999999999</v>
      </c>
      <c r="AS85">
        <v>2250.9380000000001</v>
      </c>
      <c r="AT85">
        <v>204.83799999999999</v>
      </c>
      <c r="AU85">
        <v>1699.6880000000001</v>
      </c>
      <c r="AV85">
        <v>2572.5</v>
      </c>
      <c r="AW85">
        <v>3694.9059999999999</v>
      </c>
      <c r="AX85">
        <v>3720.9380000000001</v>
      </c>
      <c r="AY85">
        <v>234.745</v>
      </c>
      <c r="AZ85">
        <v>3077.8130000000001</v>
      </c>
      <c r="BA85">
        <v>4364.0630000000001</v>
      </c>
      <c r="BB85">
        <v>2.64</v>
      </c>
      <c r="BC85">
        <v>195.91200000000001</v>
      </c>
      <c r="BD85">
        <v>190.791</v>
      </c>
      <c r="BE85">
        <v>19.911000000000001</v>
      </c>
      <c r="BF85">
        <v>175.797</v>
      </c>
      <c r="BG85">
        <v>0.99235294117647066</v>
      </c>
      <c r="BH85">
        <v>336.64100000000002</v>
      </c>
      <c r="BI85">
        <v>0</v>
      </c>
      <c r="BJ85">
        <v>0.72499999999999998</v>
      </c>
      <c r="BK85">
        <v>-25.632000000000001</v>
      </c>
      <c r="BL85">
        <v>339.58600000000001</v>
      </c>
      <c r="BM85">
        <v>323.58499999999998</v>
      </c>
      <c r="BN85">
        <v>30.911000000000001</v>
      </c>
      <c r="BO85">
        <v>323.58499999999998</v>
      </c>
      <c r="BP85">
        <v>600.94299999999998</v>
      </c>
      <c r="BQ85">
        <v>975.25699999999995</v>
      </c>
      <c r="BR85">
        <v>970.755</v>
      </c>
      <c r="BS85">
        <v>51.179000000000002</v>
      </c>
      <c r="BT85">
        <v>924.52800000000002</v>
      </c>
      <c r="BU85">
        <v>1479.2449999999999</v>
      </c>
      <c r="BV85">
        <v>4046.886</v>
      </c>
      <c r="BW85">
        <v>4021.6979999999999</v>
      </c>
      <c r="BX85">
        <v>308.75299999999999</v>
      </c>
      <c r="BY85">
        <v>3235.8490000000002</v>
      </c>
      <c r="BZ85">
        <v>4853.7740000000003</v>
      </c>
      <c r="CA85">
        <v>3.4</v>
      </c>
      <c r="CB85">
        <v>9</v>
      </c>
      <c r="CC85">
        <v>6</v>
      </c>
      <c r="CD85">
        <v>0</v>
      </c>
      <c r="CE85">
        <v>3</v>
      </c>
      <c r="CF85">
        <v>5</v>
      </c>
    </row>
    <row r="86" spans="1:84" x14ac:dyDescent="0.35">
      <c r="A86" t="s">
        <v>495</v>
      </c>
      <c r="B86" t="str">
        <f t="shared" si="7"/>
        <v xml:space="preserve"> il_re_2006_01_18_645</v>
      </c>
      <c r="C86" s="1">
        <f t="shared" si="6"/>
        <v>45762</v>
      </c>
      <c r="D86" t="s">
        <v>78</v>
      </c>
      <c r="E86">
        <v>192.613</v>
      </c>
      <c r="F86">
        <v>192.21700000000001</v>
      </c>
      <c r="G86">
        <v>2.157</v>
      </c>
      <c r="H86">
        <v>190.203</v>
      </c>
      <c r="I86">
        <v>0.62454545454545451</v>
      </c>
      <c r="J86">
        <v>208.58099999999999</v>
      </c>
      <c r="K86">
        <v>0</v>
      </c>
      <c r="L86">
        <v>0.34399999999999997</v>
      </c>
      <c r="M86">
        <v>-27.943999999999999</v>
      </c>
      <c r="N86">
        <v>581.03499999999997</v>
      </c>
      <c r="O86">
        <v>602.83900000000006</v>
      </c>
      <c r="P86">
        <v>55.597000000000001</v>
      </c>
      <c r="Q86">
        <v>324.60599999999999</v>
      </c>
      <c r="R86">
        <v>649.21100000000001</v>
      </c>
      <c r="S86">
        <v>1064.962</v>
      </c>
      <c r="T86">
        <v>1066.5619999999999</v>
      </c>
      <c r="U86">
        <v>38.415999999999997</v>
      </c>
      <c r="V86">
        <v>973.81700000000001</v>
      </c>
      <c r="W86">
        <v>1159.306</v>
      </c>
      <c r="X86">
        <v>3454.732</v>
      </c>
      <c r="Y86">
        <v>3431.5459999999998</v>
      </c>
      <c r="Z86">
        <v>265.39699999999999</v>
      </c>
      <c r="AA86">
        <v>2921.451</v>
      </c>
      <c r="AB86">
        <v>4312.6180000000004</v>
      </c>
      <c r="AC86">
        <v>3.3</v>
      </c>
      <c r="AD86">
        <v>198.886</v>
      </c>
      <c r="AE86">
        <v>199.548</v>
      </c>
      <c r="AF86">
        <v>11.999000000000001</v>
      </c>
      <c r="AG86">
        <v>102.252</v>
      </c>
      <c r="AH86">
        <v>1.3548387096774195E-2</v>
      </c>
      <c r="AI86">
        <v>246.96</v>
      </c>
      <c r="AJ86">
        <v>0</v>
      </c>
      <c r="AK86">
        <v>1.7549999999999999</v>
      </c>
      <c r="AL86">
        <v>-30.045999999999999</v>
      </c>
      <c r="AM86">
        <v>336.56599999999997</v>
      </c>
      <c r="AN86">
        <v>335.90899999999999</v>
      </c>
      <c r="AO86">
        <v>20.38</v>
      </c>
      <c r="AP86">
        <v>287.92200000000003</v>
      </c>
      <c r="AQ86">
        <v>383.89600000000002</v>
      </c>
      <c r="AR86">
        <v>2119.4229999999998</v>
      </c>
      <c r="AS86">
        <v>2327.3670000000002</v>
      </c>
      <c r="AT86">
        <v>461.69</v>
      </c>
      <c r="AU86">
        <v>1247.6610000000001</v>
      </c>
      <c r="AV86">
        <v>2495.3209999999999</v>
      </c>
      <c r="AW86">
        <v>3271.6</v>
      </c>
      <c r="AX86">
        <v>3263.1120000000001</v>
      </c>
      <c r="AY86">
        <v>164.965</v>
      </c>
      <c r="AZ86">
        <v>2927.203</v>
      </c>
      <c r="BA86">
        <v>3694.9949999999999</v>
      </c>
      <c r="BB86">
        <v>3.1</v>
      </c>
      <c r="BC86">
        <v>204.221</v>
      </c>
      <c r="BD86">
        <v>203.226</v>
      </c>
      <c r="BE86">
        <v>8.8070000000000004</v>
      </c>
      <c r="BF86">
        <v>198.77699999999999</v>
      </c>
      <c r="BG86">
        <v>0.81181318681318682</v>
      </c>
      <c r="BH86">
        <v>294</v>
      </c>
      <c r="BI86">
        <v>5.4945054945054941E-3</v>
      </c>
      <c r="BJ86">
        <v>0.51600000000000001</v>
      </c>
      <c r="BK86">
        <v>-29.088000000000001</v>
      </c>
      <c r="BL86">
        <v>347.58300000000003</v>
      </c>
      <c r="BM86">
        <v>345.30200000000002</v>
      </c>
      <c r="BN86">
        <v>29.045000000000002</v>
      </c>
      <c r="BO86">
        <v>295.97300000000001</v>
      </c>
      <c r="BP86">
        <v>641.27499999999998</v>
      </c>
      <c r="BQ86">
        <v>999.63499999999999</v>
      </c>
      <c r="BR86">
        <v>986.577</v>
      </c>
      <c r="BS86">
        <v>37.052</v>
      </c>
      <c r="BT86">
        <v>937.24800000000005</v>
      </c>
      <c r="BU86">
        <v>1134.5640000000001</v>
      </c>
      <c r="BV86">
        <v>2670.6869999999999</v>
      </c>
      <c r="BW86">
        <v>2663.7579999999998</v>
      </c>
      <c r="BX86">
        <v>78.433999999999997</v>
      </c>
      <c r="BY86">
        <v>2466.4430000000002</v>
      </c>
      <c r="BZ86">
        <v>2861.0740000000001</v>
      </c>
      <c r="CA86">
        <v>3.64</v>
      </c>
    </row>
    <row r="87" spans="1:84" x14ac:dyDescent="0.35">
      <c r="A87" t="s">
        <v>496</v>
      </c>
      <c r="B87" t="str">
        <f t="shared" si="7"/>
        <v xml:space="preserve"> ir_ma_2004_10_19_669</v>
      </c>
      <c r="C87" s="1">
        <f t="shared" si="6"/>
        <v>45762</v>
      </c>
      <c r="D87" t="s">
        <v>78</v>
      </c>
      <c r="E87">
        <v>182.786</v>
      </c>
      <c r="F87">
        <v>182.285</v>
      </c>
      <c r="G87">
        <v>4.6429999999999998</v>
      </c>
      <c r="H87">
        <v>177.82300000000001</v>
      </c>
      <c r="I87">
        <v>0.97253521126760567</v>
      </c>
      <c r="J87">
        <v>229.85900000000001</v>
      </c>
      <c r="K87">
        <v>0</v>
      </c>
      <c r="L87">
        <v>0.64700000000000002</v>
      </c>
      <c r="M87">
        <v>-25.206</v>
      </c>
      <c r="N87">
        <v>651.72400000000005</v>
      </c>
      <c r="O87">
        <v>695.17200000000003</v>
      </c>
      <c r="P87">
        <v>101.78</v>
      </c>
      <c r="Q87">
        <v>304.13799999999998</v>
      </c>
      <c r="R87">
        <v>1042.759</v>
      </c>
      <c r="S87">
        <v>1248.1500000000001</v>
      </c>
      <c r="T87">
        <v>1260</v>
      </c>
      <c r="U87">
        <v>58.021000000000001</v>
      </c>
      <c r="V87">
        <v>1129.655</v>
      </c>
      <c r="W87">
        <v>1390.345</v>
      </c>
      <c r="X87">
        <v>3493.3130000000001</v>
      </c>
      <c r="Y87">
        <v>3519.31</v>
      </c>
      <c r="Z87">
        <v>187.07900000000001</v>
      </c>
      <c r="AA87">
        <v>2433.1030000000001</v>
      </c>
      <c r="AB87">
        <v>4257.9309999999996</v>
      </c>
      <c r="AC87">
        <v>2.84</v>
      </c>
      <c r="AD87">
        <v>200.62700000000001</v>
      </c>
      <c r="AE87">
        <v>200.19499999999999</v>
      </c>
      <c r="AF87">
        <v>6.2009999999999996</v>
      </c>
      <c r="AG87">
        <v>195.38</v>
      </c>
      <c r="AH87">
        <v>0.98217054263565884</v>
      </c>
      <c r="AI87">
        <v>268.202</v>
      </c>
      <c r="AJ87">
        <v>8.1395348837209301E-3</v>
      </c>
      <c r="AK87">
        <v>0.72899999999999998</v>
      </c>
      <c r="AL87">
        <v>-28.082999999999998</v>
      </c>
      <c r="AM87">
        <v>377.46899999999999</v>
      </c>
      <c r="AN87">
        <v>388.11900000000003</v>
      </c>
      <c r="AO87">
        <v>23.683</v>
      </c>
      <c r="AP87">
        <v>291.089</v>
      </c>
      <c r="AQ87">
        <v>485.149</v>
      </c>
      <c r="AR87">
        <v>2285.4430000000002</v>
      </c>
      <c r="AS87">
        <v>2328.7130000000002</v>
      </c>
      <c r="AT87">
        <v>185.72200000000001</v>
      </c>
      <c r="AU87">
        <v>1455.4459999999999</v>
      </c>
      <c r="AV87">
        <v>2571.2869999999998</v>
      </c>
      <c r="AW87">
        <v>3853.018</v>
      </c>
      <c r="AX87">
        <v>3832.6729999999998</v>
      </c>
      <c r="AY87">
        <v>82.326999999999998</v>
      </c>
      <c r="AZ87">
        <v>3299.01</v>
      </c>
      <c r="BA87">
        <v>4075.248</v>
      </c>
      <c r="BB87">
        <v>2.58</v>
      </c>
      <c r="BC87">
        <v>184.76400000000001</v>
      </c>
      <c r="BD87">
        <v>184.51900000000001</v>
      </c>
      <c r="BE87">
        <v>1.19</v>
      </c>
      <c r="BF87">
        <v>181.90899999999999</v>
      </c>
      <c r="BG87">
        <v>0.9852564102564102</v>
      </c>
      <c r="BH87">
        <v>192.57599999999999</v>
      </c>
      <c r="BI87">
        <v>1</v>
      </c>
      <c r="BJ87">
        <v>0.25800000000000001</v>
      </c>
      <c r="BK87">
        <v>-31.78</v>
      </c>
      <c r="BL87">
        <v>352.78699999999998</v>
      </c>
      <c r="BM87">
        <v>348.27199999999999</v>
      </c>
      <c r="BN87">
        <v>13.321999999999999</v>
      </c>
      <c r="BO87">
        <v>348.27199999999999</v>
      </c>
      <c r="BP87">
        <v>391.80700000000002</v>
      </c>
      <c r="BQ87">
        <v>1088.3510000000001</v>
      </c>
      <c r="BR87">
        <v>1088.3510000000001</v>
      </c>
      <c r="BS87">
        <v>0</v>
      </c>
      <c r="BT87">
        <v>1088.3510000000001</v>
      </c>
      <c r="BU87">
        <v>1088.3510000000001</v>
      </c>
      <c r="BV87">
        <v>3482.402</v>
      </c>
      <c r="BW87">
        <v>3482.7249999999999</v>
      </c>
      <c r="BX87">
        <v>165.17400000000001</v>
      </c>
      <c r="BY87">
        <v>2916.7820000000002</v>
      </c>
      <c r="BZ87">
        <v>3918.0650000000001</v>
      </c>
      <c r="CA87">
        <v>3.12</v>
      </c>
    </row>
    <row r="88" spans="1:84" x14ac:dyDescent="0.35">
      <c r="A88" t="s">
        <v>497</v>
      </c>
      <c r="B88" t="str">
        <f t="shared" si="7"/>
        <v xml:space="preserve"> ir_sa_2005_07_04_464</v>
      </c>
      <c r="C88" s="1">
        <f t="shared" si="6"/>
        <v>45762</v>
      </c>
      <c r="D88" t="s">
        <v>78</v>
      </c>
      <c r="E88">
        <v>179.499</v>
      </c>
      <c r="F88">
        <v>177.92500000000001</v>
      </c>
      <c r="G88">
        <v>10.622999999999999</v>
      </c>
      <c r="H88">
        <v>174.30799999999999</v>
      </c>
      <c r="I88">
        <v>0.99264705882352933</v>
      </c>
      <c r="J88">
        <v>310.87599999999998</v>
      </c>
      <c r="K88">
        <v>5.6372549019607842E-3</v>
      </c>
      <c r="L88">
        <v>0.76</v>
      </c>
      <c r="M88">
        <v>-27.78</v>
      </c>
      <c r="N88">
        <v>680.72199999999998</v>
      </c>
      <c r="O88">
        <v>687.71900000000005</v>
      </c>
      <c r="P88">
        <v>52.738999999999997</v>
      </c>
      <c r="Q88">
        <v>429.82499999999999</v>
      </c>
      <c r="R88">
        <v>1031.579</v>
      </c>
      <c r="S88">
        <v>1173.6189999999999</v>
      </c>
      <c r="T88">
        <v>1160.5260000000001</v>
      </c>
      <c r="U88">
        <v>54.375</v>
      </c>
      <c r="V88">
        <v>1117.5440000000001</v>
      </c>
      <c r="W88">
        <v>1461.404</v>
      </c>
      <c r="X88">
        <v>2721.9749999999999</v>
      </c>
      <c r="Y88">
        <v>2707.895</v>
      </c>
      <c r="Z88">
        <v>185.33099999999999</v>
      </c>
      <c r="AA88">
        <v>2535.9650000000001</v>
      </c>
      <c r="AB88">
        <v>4900</v>
      </c>
      <c r="AC88">
        <v>4.08</v>
      </c>
      <c r="AD88">
        <v>176.1</v>
      </c>
      <c r="AE88">
        <v>175.797</v>
      </c>
      <c r="AF88">
        <v>8.5440000000000005</v>
      </c>
      <c r="AG88">
        <v>98.721000000000004</v>
      </c>
      <c r="AH88">
        <v>5.2863436123348016E-3</v>
      </c>
      <c r="AI88">
        <v>193.66399999999999</v>
      </c>
      <c r="AJ88">
        <v>1.0572687224669603E-2</v>
      </c>
      <c r="AK88">
        <v>0.80500000000000005</v>
      </c>
      <c r="AL88">
        <v>-29.081</v>
      </c>
      <c r="AM88">
        <v>336.64100000000002</v>
      </c>
      <c r="AN88">
        <v>336.64100000000002</v>
      </c>
      <c r="AO88">
        <v>0</v>
      </c>
      <c r="AP88">
        <v>336.64100000000002</v>
      </c>
      <c r="AQ88">
        <v>336.64100000000002</v>
      </c>
      <c r="AR88">
        <v>2406.4850000000001</v>
      </c>
      <c r="AS88">
        <v>2440.6489999999999</v>
      </c>
      <c r="AT88">
        <v>133.56200000000001</v>
      </c>
      <c r="AU88">
        <v>1514.885</v>
      </c>
      <c r="AV88">
        <v>2566.8890000000001</v>
      </c>
      <c r="AW88">
        <v>3140.2869999999998</v>
      </c>
      <c r="AX88">
        <v>3134.971</v>
      </c>
      <c r="AY88">
        <v>110.46599999999999</v>
      </c>
      <c r="AZ88">
        <v>2482.7289999999998</v>
      </c>
      <c r="BA88">
        <v>3660.973</v>
      </c>
      <c r="BB88">
        <v>4.54</v>
      </c>
      <c r="BC88">
        <v>176.49</v>
      </c>
      <c r="BD88">
        <v>175.398</v>
      </c>
      <c r="BE88">
        <v>6.4960000000000004</v>
      </c>
      <c r="BF88">
        <v>172.554</v>
      </c>
      <c r="BG88">
        <v>0.96683673469387754</v>
      </c>
      <c r="BH88">
        <v>254.07400000000001</v>
      </c>
      <c r="BI88">
        <v>0</v>
      </c>
      <c r="BJ88">
        <v>0.497</v>
      </c>
      <c r="BK88">
        <v>-28.66</v>
      </c>
      <c r="BL88">
        <v>379.291</v>
      </c>
      <c r="BM88">
        <v>379.80900000000003</v>
      </c>
      <c r="BN88">
        <v>4.66</v>
      </c>
      <c r="BO88">
        <v>337.608</v>
      </c>
      <c r="BP88">
        <v>379.80900000000003</v>
      </c>
      <c r="BQ88">
        <v>996.077</v>
      </c>
      <c r="BR88">
        <v>970.62199999999996</v>
      </c>
      <c r="BS88">
        <v>47.66</v>
      </c>
      <c r="BT88">
        <v>970.62199999999996</v>
      </c>
      <c r="BU88">
        <v>1308.23</v>
      </c>
      <c r="BV88">
        <v>3917.4839999999999</v>
      </c>
      <c r="BW88">
        <v>3924.6889999999999</v>
      </c>
      <c r="BX88">
        <v>264.79000000000002</v>
      </c>
      <c r="BY88">
        <v>2954.067</v>
      </c>
      <c r="BZ88">
        <v>4431.1000000000004</v>
      </c>
      <c r="CA88">
        <v>3.92</v>
      </c>
      <c r="CB88">
        <v>4</v>
      </c>
      <c r="CC88">
        <v>4</v>
      </c>
      <c r="CD88">
        <v>0</v>
      </c>
      <c r="CE88">
        <v>2</v>
      </c>
      <c r="CF88">
        <v>1</v>
      </c>
    </row>
    <row r="89" spans="1:84" x14ac:dyDescent="0.35">
      <c r="A89" t="s">
        <v>498</v>
      </c>
      <c r="B89" t="str">
        <f t="shared" si="7"/>
        <v xml:space="preserve"> ir_te_2005_12_19_790</v>
      </c>
      <c r="C89" s="1">
        <f t="shared" si="6"/>
        <v>45762</v>
      </c>
      <c r="D89" t="s">
        <v>78</v>
      </c>
      <c r="E89">
        <v>182.50700000000001</v>
      </c>
      <c r="F89">
        <v>181.375</v>
      </c>
      <c r="G89">
        <v>6.2910000000000004</v>
      </c>
      <c r="H89">
        <v>175.59700000000001</v>
      </c>
      <c r="I89">
        <v>6.5163934426229517E-2</v>
      </c>
      <c r="J89">
        <v>212.60300000000001</v>
      </c>
      <c r="K89">
        <v>0.9893442622950821</v>
      </c>
      <c r="L89">
        <v>0.77700000000000002</v>
      </c>
      <c r="M89">
        <v>-24.977</v>
      </c>
      <c r="N89">
        <v>602.89700000000005</v>
      </c>
      <c r="O89">
        <v>608.27599999999995</v>
      </c>
      <c r="P89">
        <v>70.186000000000007</v>
      </c>
      <c r="Q89">
        <v>391.03399999999999</v>
      </c>
      <c r="R89">
        <v>782.06899999999996</v>
      </c>
      <c r="S89">
        <v>1042.759</v>
      </c>
      <c r="T89">
        <v>1042.759</v>
      </c>
      <c r="U89">
        <v>45.38</v>
      </c>
      <c r="V89">
        <v>999.31</v>
      </c>
      <c r="W89">
        <v>1129.655</v>
      </c>
      <c r="X89">
        <v>3458.8969999999999</v>
      </c>
      <c r="Y89">
        <v>3432.4140000000002</v>
      </c>
      <c r="Z89">
        <v>201.14500000000001</v>
      </c>
      <c r="AA89">
        <v>2954.4830000000002</v>
      </c>
      <c r="AB89">
        <v>4127.5860000000002</v>
      </c>
      <c r="AC89">
        <v>2.44</v>
      </c>
      <c r="AD89">
        <v>182.01</v>
      </c>
      <c r="AE89">
        <v>181.80199999999999</v>
      </c>
      <c r="AF89">
        <v>4.0449999999999999</v>
      </c>
      <c r="AG89">
        <v>171.786</v>
      </c>
      <c r="AH89">
        <v>0.98843537414965998</v>
      </c>
      <c r="AI89">
        <v>200.715</v>
      </c>
      <c r="AJ89">
        <v>0</v>
      </c>
      <c r="AK89">
        <v>0.47599999999999998</v>
      </c>
      <c r="AL89">
        <v>-27.337</v>
      </c>
      <c r="AM89">
        <v>348.55500000000001</v>
      </c>
      <c r="AN89">
        <v>346.90300000000002</v>
      </c>
      <c r="AO89">
        <v>8341</v>
      </c>
      <c r="AP89">
        <v>346.90300000000002</v>
      </c>
      <c r="AQ89">
        <v>390.26499999999999</v>
      </c>
      <c r="AR89">
        <v>1856.9079999999999</v>
      </c>
      <c r="AS89">
        <v>1864.6020000000001</v>
      </c>
      <c r="AT89">
        <v>243.72399999999999</v>
      </c>
      <c r="AU89">
        <v>1430.973</v>
      </c>
      <c r="AV89">
        <v>2384.9560000000001</v>
      </c>
      <c r="AW89">
        <v>3687.9059999999999</v>
      </c>
      <c r="AX89">
        <v>3685.8409999999999</v>
      </c>
      <c r="AY89">
        <v>176.78899999999999</v>
      </c>
      <c r="AZ89">
        <v>3208.85</v>
      </c>
      <c r="BA89">
        <v>4292.92</v>
      </c>
      <c r="BB89">
        <v>2.94</v>
      </c>
      <c r="BC89">
        <v>184.68299999999999</v>
      </c>
      <c r="BD89">
        <v>183.53200000000001</v>
      </c>
      <c r="BE89">
        <v>4.4039999999999999</v>
      </c>
      <c r="BF89">
        <v>179.58099999999999</v>
      </c>
      <c r="BG89">
        <v>0.98892857142857149</v>
      </c>
      <c r="BH89">
        <v>207.46</v>
      </c>
      <c r="BI89">
        <v>0</v>
      </c>
      <c r="BJ89">
        <v>0.52100000000000002</v>
      </c>
      <c r="BK89">
        <v>-29.715</v>
      </c>
      <c r="BL89">
        <v>358.27300000000002</v>
      </c>
      <c r="BM89">
        <v>352.44799999999998</v>
      </c>
      <c r="BN89">
        <v>14.986000000000001</v>
      </c>
      <c r="BO89">
        <v>352.44799999999998</v>
      </c>
      <c r="BP89">
        <v>396.50299999999999</v>
      </c>
      <c r="BQ89">
        <v>952.12699999999995</v>
      </c>
      <c r="BR89">
        <v>969.23099999999999</v>
      </c>
      <c r="BS89">
        <v>22.643000000000001</v>
      </c>
      <c r="BT89">
        <v>925.17499999999995</v>
      </c>
      <c r="BU89">
        <v>1013.287</v>
      </c>
      <c r="BV89">
        <v>3923.5070000000001</v>
      </c>
      <c r="BW89">
        <v>3920.9789999999998</v>
      </c>
      <c r="BX89">
        <v>191.684</v>
      </c>
      <c r="BY89">
        <v>3392.308</v>
      </c>
      <c r="BZ89">
        <v>4317.4830000000002</v>
      </c>
      <c r="CA89">
        <v>2.8</v>
      </c>
    </row>
    <row r="90" spans="1:84" x14ac:dyDescent="0.35">
      <c r="A90" t="s">
        <v>499</v>
      </c>
      <c r="B90" t="str">
        <f t="shared" si="7"/>
        <v xml:space="preserve"> je_le_2005_12_23_699</v>
      </c>
      <c r="C90" s="1">
        <f t="shared" si="6"/>
        <v>45762</v>
      </c>
      <c r="D90" t="s">
        <v>78</v>
      </c>
      <c r="E90">
        <v>203.404</v>
      </c>
      <c r="F90">
        <v>203.09200000000001</v>
      </c>
      <c r="G90">
        <v>2.8620000000000001</v>
      </c>
      <c r="H90">
        <v>194.64099999999999</v>
      </c>
      <c r="I90">
        <v>6.4417177914110439E-3</v>
      </c>
      <c r="J90">
        <v>218.31700000000001</v>
      </c>
      <c r="K90">
        <v>0.99325153374233133</v>
      </c>
      <c r="L90">
        <v>0.48899999999999999</v>
      </c>
      <c r="M90">
        <v>-19.513000000000002</v>
      </c>
      <c r="N90">
        <v>749.26</v>
      </c>
      <c r="O90">
        <v>731.74800000000005</v>
      </c>
      <c r="P90">
        <v>78.161000000000001</v>
      </c>
      <c r="Q90">
        <v>439.04899999999998</v>
      </c>
      <c r="R90">
        <v>1073.23</v>
      </c>
      <c r="S90">
        <v>1249.22</v>
      </c>
      <c r="T90">
        <v>1219.58</v>
      </c>
      <c r="U90">
        <v>97.072999999999993</v>
      </c>
      <c r="V90">
        <v>1073.23</v>
      </c>
      <c r="W90">
        <v>1512.279</v>
      </c>
      <c r="X90">
        <v>2583.0390000000002</v>
      </c>
      <c r="Y90">
        <v>2585.509</v>
      </c>
      <c r="Z90">
        <v>203.40899999999999</v>
      </c>
      <c r="AA90">
        <v>2195.2429999999999</v>
      </c>
      <c r="AB90">
        <v>3170.9070000000002</v>
      </c>
      <c r="AC90">
        <v>3.26</v>
      </c>
      <c r="AD90">
        <v>205.63900000000001</v>
      </c>
      <c r="AE90">
        <v>205.11600000000001</v>
      </c>
      <c r="AF90">
        <v>3.0489999999999999</v>
      </c>
      <c r="AG90">
        <v>202.29400000000001</v>
      </c>
      <c r="AH90">
        <v>0.67611111111111111</v>
      </c>
      <c r="AI90">
        <v>238.37799999999999</v>
      </c>
      <c r="AJ90">
        <v>0</v>
      </c>
      <c r="AK90">
        <v>0.53700000000000003</v>
      </c>
      <c r="AL90">
        <v>-20.684999999999999</v>
      </c>
      <c r="AM90">
        <v>350.41699999999997</v>
      </c>
      <c r="AN90">
        <v>347.24400000000003</v>
      </c>
      <c r="AO90">
        <v>13.302</v>
      </c>
      <c r="AP90">
        <v>297.63799999999998</v>
      </c>
      <c r="AQ90">
        <v>396.85</v>
      </c>
      <c r="AR90">
        <v>2386.1469999999999</v>
      </c>
      <c r="AS90">
        <v>2381.1019999999999</v>
      </c>
      <c r="AT90">
        <v>57.22</v>
      </c>
      <c r="AU90">
        <v>2133.0709999999999</v>
      </c>
      <c r="AV90">
        <v>2529.9209999999998</v>
      </c>
      <c r="AW90">
        <v>2888.096</v>
      </c>
      <c r="AX90">
        <v>2877.165</v>
      </c>
      <c r="AY90">
        <v>109.554</v>
      </c>
      <c r="AZ90">
        <v>2629.134</v>
      </c>
      <c r="BA90">
        <v>3174.8029999999999</v>
      </c>
      <c r="BB90">
        <v>3.6</v>
      </c>
      <c r="BC90">
        <v>208.548</v>
      </c>
      <c r="BD90">
        <v>208.01900000000001</v>
      </c>
      <c r="BE90">
        <v>2.8050000000000002</v>
      </c>
      <c r="BF90">
        <v>195.38</v>
      </c>
      <c r="BG90">
        <v>0</v>
      </c>
      <c r="BH90">
        <v>218.16300000000001</v>
      </c>
      <c r="BI90">
        <v>3.3112582781456956E-2</v>
      </c>
      <c r="BJ90">
        <v>0.47399999999999998</v>
      </c>
      <c r="BK90">
        <v>-29.175999999999998</v>
      </c>
      <c r="BL90">
        <v>419.61799999999999</v>
      </c>
      <c r="BM90">
        <v>400.90899999999999</v>
      </c>
      <c r="BN90">
        <v>25.669</v>
      </c>
      <c r="BO90">
        <v>350.79500000000002</v>
      </c>
      <c r="BP90">
        <v>451.02300000000002</v>
      </c>
      <c r="BQ90">
        <v>1008.168</v>
      </c>
      <c r="BR90">
        <v>1002.273</v>
      </c>
      <c r="BS90">
        <v>32.088000000000001</v>
      </c>
      <c r="BT90">
        <v>952.15899999999999</v>
      </c>
      <c r="BU90">
        <v>1102.5</v>
      </c>
      <c r="BV90">
        <v>3162.5050000000001</v>
      </c>
      <c r="BW90">
        <v>3157.1590000000001</v>
      </c>
      <c r="BX90">
        <v>198.77799999999999</v>
      </c>
      <c r="BY90">
        <v>2656.0230000000001</v>
      </c>
      <c r="BZ90">
        <v>3758.5230000000001</v>
      </c>
      <c r="CA90">
        <v>3.02</v>
      </c>
      <c r="CB90">
        <v>8</v>
      </c>
      <c r="CC90">
        <v>3</v>
      </c>
      <c r="CD90">
        <v>3</v>
      </c>
      <c r="CE90">
        <v>6</v>
      </c>
      <c r="CF90">
        <v>7</v>
      </c>
    </row>
    <row r="91" spans="1:84" x14ac:dyDescent="0.35">
      <c r="A91" t="s">
        <v>500</v>
      </c>
      <c r="B91" t="str">
        <f t="shared" si="7"/>
        <v xml:space="preserve"> je_ma_2005_01_13_962</v>
      </c>
      <c r="C91" s="1">
        <f t="shared" si="6"/>
        <v>45762</v>
      </c>
      <c r="D91" t="s">
        <v>78</v>
      </c>
      <c r="E91">
        <v>172.09899999999999</v>
      </c>
      <c r="F91">
        <v>167.54499999999999</v>
      </c>
      <c r="G91">
        <v>11.913</v>
      </c>
      <c r="H91">
        <v>163.333</v>
      </c>
      <c r="I91">
        <v>0.4934782608695652</v>
      </c>
      <c r="J91">
        <v>214.673</v>
      </c>
      <c r="K91">
        <v>0</v>
      </c>
      <c r="L91">
        <v>2.41</v>
      </c>
      <c r="M91">
        <v>-18.53</v>
      </c>
      <c r="N91">
        <v>862.51199999999994</v>
      </c>
      <c r="O91">
        <v>839.20100000000002</v>
      </c>
      <c r="P91">
        <v>35.9</v>
      </c>
      <c r="Q91">
        <v>797.24099999999999</v>
      </c>
      <c r="R91">
        <v>923.12099999999998</v>
      </c>
      <c r="S91">
        <v>1137.5830000000001</v>
      </c>
      <c r="T91">
        <v>1132.921</v>
      </c>
      <c r="U91">
        <v>65.778999999999996</v>
      </c>
      <c r="V91">
        <v>1090.961</v>
      </c>
      <c r="W91">
        <v>1384.681</v>
      </c>
      <c r="X91">
        <v>2883.587</v>
      </c>
      <c r="Y91">
        <v>2769.3629999999998</v>
      </c>
      <c r="Z91">
        <v>454.16500000000002</v>
      </c>
      <c r="AA91">
        <v>2391.7220000000002</v>
      </c>
      <c r="AB91">
        <v>4363.8440000000001</v>
      </c>
      <c r="AC91">
        <v>0.46</v>
      </c>
      <c r="AD91">
        <v>180.00899999999999</v>
      </c>
      <c r="AE91">
        <v>179.06</v>
      </c>
      <c r="AF91">
        <v>4.6529999999999996</v>
      </c>
      <c r="AG91">
        <v>172.554</v>
      </c>
      <c r="AH91">
        <v>0.1818181818181818</v>
      </c>
      <c r="AI91">
        <v>193.42099999999999</v>
      </c>
      <c r="AJ91">
        <v>0</v>
      </c>
      <c r="AK91">
        <v>1.1339999999999999</v>
      </c>
      <c r="AL91">
        <v>-28.26</v>
      </c>
      <c r="AM91">
        <v>349.428</v>
      </c>
      <c r="AN91">
        <v>346.22199999999998</v>
      </c>
      <c r="AO91">
        <v>16.658000000000001</v>
      </c>
      <c r="AP91">
        <v>346.22199999999998</v>
      </c>
      <c r="AQ91">
        <v>432.77699999999999</v>
      </c>
      <c r="AR91">
        <v>2466.83</v>
      </c>
      <c r="AS91">
        <v>2466.83</v>
      </c>
      <c r="AT91">
        <v>0</v>
      </c>
      <c r="AU91">
        <v>2466.83</v>
      </c>
      <c r="AV91">
        <v>2466.83</v>
      </c>
      <c r="AW91">
        <v>3835.6889999999999</v>
      </c>
      <c r="AX91">
        <v>3808.44</v>
      </c>
      <c r="AY91">
        <v>184.453</v>
      </c>
      <c r="AZ91">
        <v>3418.94</v>
      </c>
      <c r="BA91">
        <v>4154.6610000000001</v>
      </c>
      <c r="BB91">
        <v>0.66</v>
      </c>
      <c r="BC91">
        <v>239.29599999999999</v>
      </c>
      <c r="BD91">
        <v>184.465</v>
      </c>
      <c r="BE91">
        <v>77.149000000000001</v>
      </c>
      <c r="BF91">
        <v>175.19900000000001</v>
      </c>
      <c r="BG91">
        <v>0.54117647058823526</v>
      </c>
      <c r="BH91">
        <v>350.79500000000002</v>
      </c>
      <c r="BI91">
        <v>0.32499999999999996</v>
      </c>
      <c r="BJ91">
        <v>7.3739999999999997</v>
      </c>
      <c r="BK91">
        <v>-21.536999999999999</v>
      </c>
      <c r="BL91">
        <v>349.77800000000002</v>
      </c>
      <c r="BM91">
        <v>335.78699999999998</v>
      </c>
      <c r="BN91">
        <v>43.091000000000001</v>
      </c>
      <c r="BO91">
        <v>335.78699999999998</v>
      </c>
      <c r="BP91">
        <v>559.64499999999998</v>
      </c>
      <c r="BQ91">
        <v>1135.749</v>
      </c>
      <c r="BR91">
        <v>1119.289</v>
      </c>
      <c r="BS91">
        <v>138.172</v>
      </c>
      <c r="BT91">
        <v>1007.36</v>
      </c>
      <c r="BU91">
        <v>1567.0050000000001</v>
      </c>
      <c r="BV91">
        <v>4414.9750000000004</v>
      </c>
      <c r="BW91">
        <v>4477.1570000000002</v>
      </c>
      <c r="BX91">
        <v>331.70499999999998</v>
      </c>
      <c r="BY91">
        <v>2854.1880000000001</v>
      </c>
      <c r="BZ91">
        <v>4756.9799999999996</v>
      </c>
      <c r="CA91">
        <v>0.68</v>
      </c>
      <c r="CB91">
        <v>4</v>
      </c>
      <c r="CC91">
        <v>1</v>
      </c>
      <c r="CD91">
        <v>0</v>
      </c>
      <c r="CE91">
        <v>6</v>
      </c>
      <c r="CF91">
        <v>0</v>
      </c>
    </row>
    <row r="92" spans="1:84" x14ac:dyDescent="0.35">
      <c r="A92" t="s">
        <v>548</v>
      </c>
      <c r="B92" t="str">
        <f t="shared" si="7"/>
        <v xml:space="preserve"> ke_zh_2005_05_28_685</v>
      </c>
      <c r="C92" s="1">
        <f t="shared" si="6"/>
        <v>45793</v>
      </c>
      <c r="D92" t="s">
        <v>78</v>
      </c>
      <c r="E92">
        <v>245.988</v>
      </c>
      <c r="F92">
        <v>246.27099999999999</v>
      </c>
      <c r="G92">
        <v>3.8540000000000001</v>
      </c>
      <c r="H92">
        <v>230.20099999999999</v>
      </c>
      <c r="I92">
        <v>0.97452830188679251</v>
      </c>
      <c r="J92">
        <v>263.17099999999999</v>
      </c>
      <c r="K92">
        <v>0.97987421383647799</v>
      </c>
      <c r="L92">
        <v>0.56699999999999995</v>
      </c>
      <c r="M92">
        <v>-28.350999999999999</v>
      </c>
      <c r="N92">
        <v>513.27099999999996</v>
      </c>
      <c r="O92">
        <v>477.40199999999999</v>
      </c>
      <c r="P92">
        <v>109.973</v>
      </c>
      <c r="Q92">
        <v>358.05099999999999</v>
      </c>
      <c r="R92">
        <v>954.80399999999997</v>
      </c>
      <c r="S92">
        <v>1313.173</v>
      </c>
      <c r="T92">
        <v>1312.855</v>
      </c>
      <c r="U92">
        <v>63.688000000000002</v>
      </c>
      <c r="V92">
        <v>1133.829</v>
      </c>
      <c r="W92">
        <v>1432.2059999999999</v>
      </c>
      <c r="X92">
        <v>2703.4789999999998</v>
      </c>
      <c r="Y92">
        <v>2685.386</v>
      </c>
      <c r="Z92">
        <v>400.75900000000001</v>
      </c>
      <c r="AA92">
        <v>1969.2829999999999</v>
      </c>
      <c r="AB92">
        <v>3938.5659999999998</v>
      </c>
      <c r="AC92">
        <v>3.18</v>
      </c>
      <c r="AD92">
        <v>249.036</v>
      </c>
      <c r="AE92">
        <v>249.55500000000001</v>
      </c>
      <c r="AF92">
        <v>21.423999999999999</v>
      </c>
      <c r="AG92">
        <v>105.502</v>
      </c>
      <c r="AH92">
        <v>0.9596385542168675</v>
      </c>
      <c r="AI92">
        <v>334.81599999999997</v>
      </c>
      <c r="AJ92">
        <v>0.91536144578313261</v>
      </c>
      <c r="AK92">
        <v>2.859</v>
      </c>
      <c r="AL92">
        <v>-29.291</v>
      </c>
      <c r="AM92">
        <v>353.25299999999999</v>
      </c>
      <c r="AN92">
        <v>305.82499999999999</v>
      </c>
      <c r="AO92">
        <v>68.099999999999994</v>
      </c>
      <c r="AP92">
        <v>244.66</v>
      </c>
      <c r="AQ92">
        <v>611.65</v>
      </c>
      <c r="AR92">
        <v>1574.404</v>
      </c>
      <c r="AS92">
        <v>1529.126</v>
      </c>
      <c r="AT92">
        <v>190.97900000000001</v>
      </c>
      <c r="AU92">
        <v>1284.4659999999999</v>
      </c>
      <c r="AV92">
        <v>2507.7669999999998</v>
      </c>
      <c r="AW92">
        <v>3262.44</v>
      </c>
      <c r="AX92">
        <v>3364.078</v>
      </c>
      <c r="AY92">
        <v>383.80799999999999</v>
      </c>
      <c r="AZ92">
        <v>2324.2719999999999</v>
      </c>
      <c r="BA92">
        <v>4036.893</v>
      </c>
      <c r="BB92">
        <v>3.32</v>
      </c>
      <c r="BC92">
        <v>237.46600000000001</v>
      </c>
      <c r="BD92">
        <v>243.262</v>
      </c>
      <c r="BE92">
        <v>26.117000000000001</v>
      </c>
      <c r="BF92">
        <v>120.351</v>
      </c>
      <c r="BG92">
        <v>0.99831081081081086</v>
      </c>
      <c r="BH92">
        <v>265.66300000000001</v>
      </c>
      <c r="BI92">
        <v>6.7567567567567571E-3</v>
      </c>
      <c r="BJ92">
        <v>3.5190000000000001</v>
      </c>
      <c r="BK92">
        <v>-29.64</v>
      </c>
      <c r="BL92">
        <v>294.64999999999998</v>
      </c>
      <c r="BM92">
        <v>284.51600000000002</v>
      </c>
      <c r="BN92">
        <v>29.651</v>
      </c>
      <c r="BO92">
        <v>284.51600000000002</v>
      </c>
      <c r="BP92">
        <v>512.12900000000002</v>
      </c>
      <c r="BQ92">
        <v>1023.128</v>
      </c>
      <c r="BR92">
        <v>1024.258</v>
      </c>
      <c r="BS92">
        <v>64.87</v>
      </c>
      <c r="BT92">
        <v>967.35500000000002</v>
      </c>
      <c r="BU92">
        <v>1365.6769999999999</v>
      </c>
      <c r="BV92">
        <v>2809.0430000000001</v>
      </c>
      <c r="BW92">
        <v>2788.2579999999998</v>
      </c>
      <c r="BX92">
        <v>224.88499999999999</v>
      </c>
      <c r="BY92">
        <v>2389.9349999999999</v>
      </c>
      <c r="BZ92">
        <v>3584.9029999999998</v>
      </c>
      <c r="CA92">
        <v>2.96</v>
      </c>
      <c r="CB92">
        <v>3</v>
      </c>
      <c r="CC92">
        <v>4</v>
      </c>
      <c r="CD92">
        <v>3</v>
      </c>
      <c r="CE92">
        <v>3</v>
      </c>
      <c r="CF92">
        <v>1</v>
      </c>
    </row>
    <row r="93" spans="1:84" x14ac:dyDescent="0.35">
      <c r="A93" t="s">
        <v>501</v>
      </c>
      <c r="B93" t="str">
        <f t="shared" si="7"/>
        <v xml:space="preserve"> la_fi_2000_01_21_047</v>
      </c>
      <c r="C93" s="1">
        <f t="shared" si="6"/>
        <v>45762</v>
      </c>
      <c r="D93" t="s">
        <v>78</v>
      </c>
      <c r="E93">
        <v>145.244</v>
      </c>
      <c r="F93">
        <v>144.084</v>
      </c>
      <c r="G93">
        <v>5.2110000000000003</v>
      </c>
      <c r="H93">
        <v>134.86199999999999</v>
      </c>
      <c r="I93">
        <v>0.99195402298850577</v>
      </c>
      <c r="J93">
        <v>191.26400000000001</v>
      </c>
      <c r="K93">
        <v>8.3333333333333332E-3</v>
      </c>
      <c r="L93">
        <v>0.76500000000000001</v>
      </c>
      <c r="M93">
        <v>-15.891</v>
      </c>
      <c r="N93">
        <v>744.846</v>
      </c>
      <c r="O93">
        <v>729.78700000000003</v>
      </c>
      <c r="P93">
        <v>29.451000000000001</v>
      </c>
      <c r="Q93">
        <v>660.28399999999999</v>
      </c>
      <c r="R93">
        <v>868.79399999999998</v>
      </c>
      <c r="S93">
        <v>1125.6679999999999</v>
      </c>
      <c r="T93">
        <v>1112.057</v>
      </c>
      <c r="U93">
        <v>49.618000000000002</v>
      </c>
      <c r="V93">
        <v>1042.5530000000001</v>
      </c>
      <c r="W93">
        <v>1494.326</v>
      </c>
      <c r="X93">
        <v>2434.0720000000001</v>
      </c>
      <c r="Y93">
        <v>2397.8719999999998</v>
      </c>
      <c r="Z93">
        <v>137.125</v>
      </c>
      <c r="AA93">
        <v>2293.6170000000002</v>
      </c>
      <c r="AB93">
        <v>2919.1489999999999</v>
      </c>
      <c r="AC93">
        <v>3.48</v>
      </c>
      <c r="AD93">
        <v>150.245</v>
      </c>
      <c r="AE93">
        <v>150.03700000000001</v>
      </c>
      <c r="AF93">
        <v>2.3330000000000002</v>
      </c>
      <c r="AG93">
        <v>146.096</v>
      </c>
      <c r="AH93">
        <v>0.41925287356321839</v>
      </c>
      <c r="AI93">
        <v>163.161</v>
      </c>
      <c r="AJ93">
        <v>0</v>
      </c>
      <c r="AK93">
        <v>0.46100000000000002</v>
      </c>
      <c r="AL93">
        <v>-27.823</v>
      </c>
      <c r="AM93">
        <v>287.29599999999999</v>
      </c>
      <c r="AN93">
        <v>287.29599999999999</v>
      </c>
      <c r="AO93">
        <v>0</v>
      </c>
      <c r="AP93">
        <v>287.29599999999999</v>
      </c>
      <c r="AQ93">
        <v>287.29599999999999</v>
      </c>
      <c r="AR93">
        <v>2330.587</v>
      </c>
      <c r="AS93">
        <v>2334.2829999999999</v>
      </c>
      <c r="AT93">
        <v>108.562</v>
      </c>
      <c r="AU93">
        <v>1939.251</v>
      </c>
      <c r="AV93">
        <v>2513.8440000000001</v>
      </c>
      <c r="AW93">
        <v>3731.0880000000002</v>
      </c>
      <c r="AX93">
        <v>3734.8530000000001</v>
      </c>
      <c r="AY93">
        <v>112.806</v>
      </c>
      <c r="AZ93">
        <v>3519.3809999999999</v>
      </c>
      <c r="BA93">
        <v>4093.9740000000002</v>
      </c>
      <c r="BB93">
        <v>3.48</v>
      </c>
      <c r="BC93">
        <v>146.511</v>
      </c>
      <c r="BD93">
        <v>145.751</v>
      </c>
      <c r="BE93">
        <v>5.1890000000000001</v>
      </c>
      <c r="BF93">
        <v>140.702</v>
      </c>
      <c r="BG93">
        <v>0.2807926829268293</v>
      </c>
      <c r="BH93">
        <v>186.07599999999999</v>
      </c>
      <c r="BI93">
        <v>0.21890243902439024</v>
      </c>
      <c r="BJ93">
        <v>1.2849999999999999</v>
      </c>
      <c r="BK93">
        <v>-16.189</v>
      </c>
      <c r="BL93">
        <v>306.202</v>
      </c>
      <c r="BM93">
        <v>312.274</v>
      </c>
      <c r="BN93">
        <v>15.394</v>
      </c>
      <c r="BO93">
        <v>277.577</v>
      </c>
      <c r="BP93">
        <v>346.971</v>
      </c>
      <c r="BQ93">
        <v>1103.6179999999999</v>
      </c>
      <c r="BR93">
        <v>1110.307</v>
      </c>
      <c r="BS93">
        <v>42.133000000000003</v>
      </c>
      <c r="BT93">
        <v>1006.216</v>
      </c>
      <c r="BU93">
        <v>1249.095</v>
      </c>
      <c r="BV93">
        <v>3390.489</v>
      </c>
      <c r="BW93">
        <v>3400.3150000000001</v>
      </c>
      <c r="BX93">
        <v>121.393</v>
      </c>
      <c r="BY93">
        <v>2845.1610000000001</v>
      </c>
      <c r="BZ93">
        <v>3747.2860000000001</v>
      </c>
      <c r="CA93">
        <v>3.28</v>
      </c>
      <c r="CB93">
        <v>5</v>
      </c>
      <c r="CC93">
        <v>5</v>
      </c>
      <c r="CD93">
        <v>0</v>
      </c>
      <c r="CE93">
        <v>7</v>
      </c>
      <c r="CF93">
        <v>0</v>
      </c>
    </row>
    <row r="94" spans="1:84" x14ac:dyDescent="0.35">
      <c r="A94" t="s">
        <v>502</v>
      </c>
      <c r="B94" t="str">
        <f t="shared" si="7"/>
        <v xml:space="preserve"> la_ma_2004_05_16_992</v>
      </c>
      <c r="C94" s="1">
        <f t="shared" si="6"/>
        <v>45762</v>
      </c>
      <c r="D94" t="s">
        <v>78</v>
      </c>
      <c r="E94">
        <v>222.739</v>
      </c>
      <c r="F94">
        <v>222.40600000000001</v>
      </c>
      <c r="G94">
        <v>5.3230000000000004</v>
      </c>
      <c r="H94">
        <v>216.78399999999999</v>
      </c>
      <c r="I94">
        <v>4.4345238095238097E-2</v>
      </c>
      <c r="J94">
        <v>266.35000000000002</v>
      </c>
      <c r="K94">
        <v>0</v>
      </c>
      <c r="L94">
        <v>0.46800000000000003</v>
      </c>
      <c r="M94">
        <v>-28.169</v>
      </c>
      <c r="N94">
        <v>640.423</v>
      </c>
      <c r="O94">
        <v>648.529</v>
      </c>
      <c r="P94">
        <v>54.036999999999999</v>
      </c>
      <c r="Q94">
        <v>378.30900000000003</v>
      </c>
      <c r="R94">
        <v>1026.838</v>
      </c>
      <c r="S94">
        <v>1126.3589999999999</v>
      </c>
      <c r="T94">
        <v>1134.9259999999999</v>
      </c>
      <c r="U94">
        <v>58.941000000000003</v>
      </c>
      <c r="V94">
        <v>1026.838</v>
      </c>
      <c r="W94">
        <v>1675.3679999999999</v>
      </c>
      <c r="X94">
        <v>2989.24</v>
      </c>
      <c r="Y94">
        <v>2972.4259999999999</v>
      </c>
      <c r="Z94">
        <v>186.89099999999999</v>
      </c>
      <c r="AA94">
        <v>2594.1179999999999</v>
      </c>
      <c r="AB94">
        <v>3891.1759999999999</v>
      </c>
      <c r="AC94">
        <v>3.36</v>
      </c>
      <c r="AD94">
        <v>225.249</v>
      </c>
      <c r="AE94">
        <v>224.83600000000001</v>
      </c>
      <c r="AF94">
        <v>2.8140000000000001</v>
      </c>
      <c r="AG94">
        <v>221.608</v>
      </c>
      <c r="AH94">
        <v>5.6462585034013607E-2</v>
      </c>
      <c r="AI94">
        <v>246.369</v>
      </c>
      <c r="AJ94">
        <v>0</v>
      </c>
      <c r="AK94">
        <v>0.38900000000000001</v>
      </c>
      <c r="AL94">
        <v>-31.233000000000001</v>
      </c>
      <c r="AM94">
        <v>379.16500000000002</v>
      </c>
      <c r="AN94">
        <v>382.52800000000002</v>
      </c>
      <c r="AO94">
        <v>16.385000000000002</v>
      </c>
      <c r="AP94">
        <v>327.88099999999997</v>
      </c>
      <c r="AQ94">
        <v>437.17500000000001</v>
      </c>
      <c r="AR94">
        <v>2029.1130000000001</v>
      </c>
      <c r="AS94">
        <v>2021.933</v>
      </c>
      <c r="AT94">
        <v>135.458</v>
      </c>
      <c r="AU94">
        <v>1639.405</v>
      </c>
      <c r="AV94">
        <v>2404.4609999999998</v>
      </c>
      <c r="AW94">
        <v>4050.0529999999999</v>
      </c>
      <c r="AX94">
        <v>3989.2190000000001</v>
      </c>
      <c r="AY94">
        <v>199.79300000000001</v>
      </c>
      <c r="AZ94">
        <v>3497.3980000000001</v>
      </c>
      <c r="BA94">
        <v>4918.2160000000003</v>
      </c>
      <c r="BB94">
        <v>2.94</v>
      </c>
      <c r="BC94">
        <v>224.26300000000001</v>
      </c>
      <c r="BD94">
        <v>223.696</v>
      </c>
      <c r="BE94">
        <v>3.3330000000000002</v>
      </c>
      <c r="BF94">
        <v>219.715</v>
      </c>
      <c r="BG94">
        <v>6.1851851851851852E-2</v>
      </c>
      <c r="BH94">
        <v>254.91300000000001</v>
      </c>
      <c r="BI94">
        <v>0</v>
      </c>
      <c r="BJ94">
        <v>0.34499999999999997</v>
      </c>
      <c r="BK94">
        <v>-30.975000000000001</v>
      </c>
      <c r="BL94">
        <v>382.04500000000002</v>
      </c>
      <c r="BM94">
        <v>380.17200000000003</v>
      </c>
      <c r="BN94">
        <v>13.446999999999999</v>
      </c>
      <c r="BO94">
        <v>325.86200000000002</v>
      </c>
      <c r="BP94">
        <v>434.483</v>
      </c>
      <c r="BQ94">
        <v>1180.223</v>
      </c>
      <c r="BR94">
        <v>1140.5170000000001</v>
      </c>
      <c r="BS94">
        <v>73.034999999999997</v>
      </c>
      <c r="BT94">
        <v>1086.2070000000001</v>
      </c>
      <c r="BU94">
        <v>1520.69</v>
      </c>
      <c r="BV94">
        <v>3966.5279999999998</v>
      </c>
      <c r="BW94">
        <v>4018.9659999999999</v>
      </c>
      <c r="BX94">
        <v>251.535</v>
      </c>
      <c r="BY94">
        <v>2987.069</v>
      </c>
      <c r="BZ94">
        <v>4453.4480000000003</v>
      </c>
      <c r="CA94">
        <v>2.7</v>
      </c>
    </row>
    <row r="95" spans="1:84" x14ac:dyDescent="0.35">
      <c r="A95" t="s">
        <v>503</v>
      </c>
      <c r="B95" t="str">
        <f t="shared" si="7"/>
        <v xml:space="preserve"> la_ma_2006_01_31_787</v>
      </c>
      <c r="C95" s="1">
        <f t="shared" si="6"/>
        <v>45762</v>
      </c>
      <c r="D95" t="s">
        <v>78</v>
      </c>
      <c r="E95">
        <v>230.53</v>
      </c>
      <c r="F95">
        <v>230.89</v>
      </c>
      <c r="G95">
        <v>3.0470000000000002</v>
      </c>
      <c r="H95">
        <v>215.12200000000001</v>
      </c>
      <c r="I95">
        <v>1.6744186046511629E-2</v>
      </c>
      <c r="J95">
        <v>236.55199999999999</v>
      </c>
      <c r="K95">
        <v>0.5132558139534884</v>
      </c>
      <c r="L95">
        <v>0.36299999999999999</v>
      </c>
      <c r="M95">
        <v>-34.29</v>
      </c>
      <c r="N95">
        <v>250.054</v>
      </c>
      <c r="O95">
        <v>223.858</v>
      </c>
      <c r="P95">
        <v>31.913</v>
      </c>
      <c r="Q95">
        <v>223.858</v>
      </c>
      <c r="R95">
        <v>447.71600000000001</v>
      </c>
      <c r="S95">
        <v>2251.277</v>
      </c>
      <c r="T95">
        <v>2294.5430000000001</v>
      </c>
      <c r="U95">
        <v>180.29499999999999</v>
      </c>
      <c r="V95">
        <v>1678.934</v>
      </c>
      <c r="W95">
        <v>2518.4009999999998</v>
      </c>
      <c r="X95">
        <v>3678.6689999999999</v>
      </c>
      <c r="Y95">
        <v>3693.6550000000002</v>
      </c>
      <c r="Z95">
        <v>157.494</v>
      </c>
      <c r="AA95">
        <v>3301.904</v>
      </c>
      <c r="AB95">
        <v>4029.442</v>
      </c>
      <c r="AC95">
        <v>4.3</v>
      </c>
      <c r="AD95">
        <v>235.577</v>
      </c>
      <c r="AE95">
        <v>234.39599999999999</v>
      </c>
      <c r="AF95">
        <v>9.2609999999999992</v>
      </c>
      <c r="AG95">
        <v>225.49299999999999</v>
      </c>
      <c r="AH95">
        <v>2.6829268292682926E-2</v>
      </c>
      <c r="AI95">
        <v>329.10399999999998</v>
      </c>
      <c r="AJ95">
        <v>0</v>
      </c>
      <c r="AK95">
        <v>0.67700000000000005</v>
      </c>
      <c r="AL95">
        <v>-33.610999999999997</v>
      </c>
      <c r="AM95">
        <v>259.32499999999999</v>
      </c>
      <c r="AN95">
        <v>229.68700000000001</v>
      </c>
      <c r="AO95">
        <v>40.151000000000003</v>
      </c>
      <c r="AP95">
        <v>229.68700000000001</v>
      </c>
      <c r="AQ95">
        <v>574.21900000000005</v>
      </c>
      <c r="AR95">
        <v>2192.895</v>
      </c>
      <c r="AS95">
        <v>2182.0309999999999</v>
      </c>
      <c r="AT95">
        <v>166.35900000000001</v>
      </c>
      <c r="AU95">
        <v>1492.9690000000001</v>
      </c>
      <c r="AV95">
        <v>2469.1410000000001</v>
      </c>
      <c r="AW95">
        <v>3678.3780000000002</v>
      </c>
      <c r="AX95">
        <v>3675</v>
      </c>
      <c r="AY95">
        <v>163.19499999999999</v>
      </c>
      <c r="AZ95">
        <v>2985.9369999999999</v>
      </c>
      <c r="BA95">
        <v>4019.5309999999999</v>
      </c>
      <c r="BB95">
        <v>3.28</v>
      </c>
      <c r="BC95">
        <v>236.68</v>
      </c>
      <c r="BD95">
        <v>236.00899999999999</v>
      </c>
      <c r="BE95">
        <v>2.605</v>
      </c>
      <c r="BF95">
        <v>231.40899999999999</v>
      </c>
      <c r="BG95">
        <v>7.7514792899408283E-2</v>
      </c>
      <c r="BH95">
        <v>245</v>
      </c>
      <c r="BI95">
        <v>0.19644970414201185</v>
      </c>
      <c r="BJ95">
        <v>0.36299999999999999</v>
      </c>
      <c r="BK95">
        <v>-33.496000000000002</v>
      </c>
      <c r="BL95">
        <v>245.905</v>
      </c>
      <c r="BM95">
        <v>230.28700000000001</v>
      </c>
      <c r="BN95">
        <v>26.347000000000001</v>
      </c>
      <c r="BO95">
        <v>230.28700000000001</v>
      </c>
      <c r="BP95">
        <v>345.43099999999998</v>
      </c>
      <c r="BQ95">
        <v>1997.7080000000001</v>
      </c>
      <c r="BR95">
        <v>2015.0129999999999</v>
      </c>
      <c r="BS95">
        <v>170.94200000000001</v>
      </c>
      <c r="BT95">
        <v>1496.867</v>
      </c>
      <c r="BU95">
        <v>2360.444</v>
      </c>
      <c r="BV95">
        <v>3784.5259999999998</v>
      </c>
      <c r="BW95">
        <v>3799.739</v>
      </c>
      <c r="BX95">
        <v>131.751</v>
      </c>
      <c r="BY95">
        <v>3454.308</v>
      </c>
      <c r="BZ95">
        <v>4145.17</v>
      </c>
      <c r="CA95">
        <v>3.38</v>
      </c>
    </row>
    <row r="96" spans="1:84" x14ac:dyDescent="0.35">
      <c r="A96" t="s">
        <v>504</v>
      </c>
      <c r="B96" t="str">
        <f t="shared" si="7"/>
        <v xml:space="preserve"> la_pe_2005_12_15_770</v>
      </c>
      <c r="C96" s="1">
        <f t="shared" si="6"/>
        <v>45762</v>
      </c>
      <c r="D96" t="s">
        <v>78</v>
      </c>
      <c r="E96">
        <v>190.29499999999999</v>
      </c>
      <c r="F96">
        <v>190.43799999999999</v>
      </c>
      <c r="G96">
        <v>2.9860000000000002</v>
      </c>
      <c r="H96">
        <v>182.988</v>
      </c>
      <c r="I96">
        <v>7.0512820512820512E-2</v>
      </c>
      <c r="J96">
        <v>208.01900000000001</v>
      </c>
      <c r="K96">
        <v>0.98749999999999993</v>
      </c>
      <c r="L96">
        <v>0.443</v>
      </c>
      <c r="M96">
        <v>-25.2</v>
      </c>
      <c r="N96">
        <v>608.86099999999999</v>
      </c>
      <c r="O96">
        <v>594.71</v>
      </c>
      <c r="P96">
        <v>60.792000000000002</v>
      </c>
      <c r="Q96">
        <v>457.46899999999999</v>
      </c>
      <c r="R96">
        <v>960.68499999999995</v>
      </c>
      <c r="S96">
        <v>1194.3209999999999</v>
      </c>
      <c r="T96">
        <v>1189.4190000000001</v>
      </c>
      <c r="U96">
        <v>62.493000000000002</v>
      </c>
      <c r="V96">
        <v>1052.1780000000001</v>
      </c>
      <c r="W96">
        <v>1463.9</v>
      </c>
      <c r="X96">
        <v>3004.37</v>
      </c>
      <c r="Y96">
        <v>2927.8009999999999</v>
      </c>
      <c r="Z96">
        <v>236.16200000000001</v>
      </c>
      <c r="AA96">
        <v>2699.0659999999998</v>
      </c>
      <c r="AB96">
        <v>3934.232</v>
      </c>
      <c r="AC96">
        <v>3.12</v>
      </c>
      <c r="AD96">
        <v>197.38399999999999</v>
      </c>
      <c r="AE96">
        <v>198.13900000000001</v>
      </c>
      <c r="AF96">
        <v>5.45</v>
      </c>
      <c r="AG96">
        <v>173.72</v>
      </c>
      <c r="AH96">
        <v>3.3227848101265819E-2</v>
      </c>
      <c r="AI96">
        <v>211.149</v>
      </c>
      <c r="AJ96">
        <v>0.99968354430379736</v>
      </c>
      <c r="AK96">
        <v>0.50600000000000001</v>
      </c>
      <c r="AL96">
        <v>-23.103000000000002</v>
      </c>
      <c r="AM96">
        <v>330.59699999999998</v>
      </c>
      <c r="AN96">
        <v>332.29300000000001</v>
      </c>
      <c r="AO96">
        <v>27.353000000000002</v>
      </c>
      <c r="AP96">
        <v>284.822</v>
      </c>
      <c r="AQ96">
        <v>379.76299999999998</v>
      </c>
      <c r="AR96">
        <v>2545.384</v>
      </c>
      <c r="AS96">
        <v>2563.402</v>
      </c>
      <c r="AT96">
        <v>42.353999999999999</v>
      </c>
      <c r="AU96">
        <v>2278.5790000000002</v>
      </c>
      <c r="AV96">
        <v>2610.8719999999998</v>
      </c>
      <c r="AW96">
        <v>3419.462</v>
      </c>
      <c r="AX96">
        <v>3370.3980000000001</v>
      </c>
      <c r="AY96">
        <v>186.02699999999999</v>
      </c>
      <c r="AZ96">
        <v>3038.105</v>
      </c>
      <c r="BA96">
        <v>3940.0430000000001</v>
      </c>
      <c r="BB96">
        <v>3.16</v>
      </c>
      <c r="BC96">
        <v>197.84200000000001</v>
      </c>
      <c r="BD96">
        <v>198.393</v>
      </c>
      <c r="BE96">
        <v>4.8730000000000002</v>
      </c>
      <c r="BF96">
        <v>177.51599999999999</v>
      </c>
      <c r="BG96">
        <v>3.6054421768707483E-2</v>
      </c>
      <c r="BH96">
        <v>232.10499999999999</v>
      </c>
      <c r="BI96">
        <v>0</v>
      </c>
      <c r="BJ96">
        <v>0.57299999999999995</v>
      </c>
      <c r="BK96">
        <v>-31.114000000000001</v>
      </c>
      <c r="BL96">
        <v>334.35700000000003</v>
      </c>
      <c r="BM96">
        <v>332.29300000000001</v>
      </c>
      <c r="BN96">
        <v>27.687999999999999</v>
      </c>
      <c r="BO96">
        <v>284.822</v>
      </c>
      <c r="BP96">
        <v>617.11500000000001</v>
      </c>
      <c r="BQ96">
        <v>1109.77</v>
      </c>
      <c r="BR96">
        <v>1091.819</v>
      </c>
      <c r="BS96">
        <v>40.99</v>
      </c>
      <c r="BT96">
        <v>1044.3489999999999</v>
      </c>
      <c r="BU96">
        <v>1424.1120000000001</v>
      </c>
      <c r="BV96">
        <v>3745.69</v>
      </c>
      <c r="BW96">
        <v>3750.1610000000001</v>
      </c>
      <c r="BX96">
        <v>223.238</v>
      </c>
      <c r="BY96">
        <v>2326.0500000000002</v>
      </c>
      <c r="BZ96">
        <v>4129.9250000000002</v>
      </c>
      <c r="CA96">
        <v>2.94</v>
      </c>
      <c r="CB96">
        <v>0</v>
      </c>
      <c r="CC96">
        <v>1</v>
      </c>
      <c r="CD96">
        <v>0</v>
      </c>
      <c r="CE96">
        <v>4</v>
      </c>
      <c r="CF96">
        <v>0</v>
      </c>
    </row>
    <row r="97" spans="1:84" x14ac:dyDescent="0.35">
      <c r="A97" t="s">
        <v>505</v>
      </c>
      <c r="B97" t="str">
        <f t="shared" si="7"/>
        <v xml:space="preserve"> le_du_2003_03_30_117</v>
      </c>
      <c r="C97" s="1">
        <f t="shared" si="6"/>
        <v>45762</v>
      </c>
      <c r="D97" t="s">
        <v>78</v>
      </c>
      <c r="E97">
        <v>180.19300000000001</v>
      </c>
      <c r="F97">
        <v>178.85300000000001</v>
      </c>
      <c r="G97">
        <v>7.7119999999999997</v>
      </c>
      <c r="H97">
        <v>157.09899999999999</v>
      </c>
      <c r="I97">
        <v>0</v>
      </c>
      <c r="J97">
        <v>243.64599999999999</v>
      </c>
      <c r="K97">
        <v>0.99152542372881347</v>
      </c>
      <c r="L97">
        <v>0.64300000000000002</v>
      </c>
      <c r="M97">
        <v>-28.97</v>
      </c>
      <c r="N97">
        <v>556.42999999999995</v>
      </c>
      <c r="O97">
        <v>559.31700000000001</v>
      </c>
      <c r="P97">
        <v>52.375999999999998</v>
      </c>
      <c r="Q97">
        <v>387.22</v>
      </c>
      <c r="R97">
        <v>903.51199999999994</v>
      </c>
      <c r="S97">
        <v>1221.2090000000001</v>
      </c>
      <c r="T97">
        <v>1204.683</v>
      </c>
      <c r="U97">
        <v>55.956000000000003</v>
      </c>
      <c r="V97">
        <v>1075.6099999999999</v>
      </c>
      <c r="W97">
        <v>1462.829</v>
      </c>
      <c r="X97">
        <v>3297.777</v>
      </c>
      <c r="Y97">
        <v>3269.8539999999998</v>
      </c>
      <c r="Z97">
        <v>157.27500000000001</v>
      </c>
      <c r="AA97">
        <v>2882.634</v>
      </c>
      <c r="AB97">
        <v>3700.098</v>
      </c>
      <c r="AC97">
        <v>3.54</v>
      </c>
      <c r="AD97">
        <v>177.422</v>
      </c>
      <c r="AE97">
        <v>177.41399999999999</v>
      </c>
      <c r="AF97">
        <v>2.1669999999999998</v>
      </c>
      <c r="AG97">
        <v>164.64</v>
      </c>
      <c r="AH97">
        <v>0.98757961783439485</v>
      </c>
      <c r="AI97">
        <v>192.09700000000001</v>
      </c>
      <c r="AJ97">
        <v>0</v>
      </c>
      <c r="AK97">
        <v>0.42399999999999999</v>
      </c>
      <c r="AL97">
        <v>-31.314</v>
      </c>
      <c r="AM97">
        <v>338.25599999999997</v>
      </c>
      <c r="AN97">
        <v>337.93099999999998</v>
      </c>
      <c r="AO97">
        <v>3705</v>
      </c>
      <c r="AP97">
        <v>337.93099999999998</v>
      </c>
      <c r="AQ97">
        <v>380.17200000000003</v>
      </c>
      <c r="AR97">
        <v>2434.5459999999998</v>
      </c>
      <c r="AS97">
        <v>2492.241</v>
      </c>
      <c r="AT97">
        <v>114.425</v>
      </c>
      <c r="AU97">
        <v>2112.069</v>
      </c>
      <c r="AV97">
        <v>2576.7240000000002</v>
      </c>
      <c r="AW97">
        <v>3311.9180000000001</v>
      </c>
      <c r="AX97">
        <v>3294.828</v>
      </c>
      <c r="AY97">
        <v>168.29599999999999</v>
      </c>
      <c r="AZ97">
        <v>2956.8969999999999</v>
      </c>
      <c r="BA97">
        <v>3759.4830000000002</v>
      </c>
      <c r="BB97">
        <v>3.14</v>
      </c>
      <c r="BC97">
        <v>176.619</v>
      </c>
      <c r="BD97">
        <v>176.4</v>
      </c>
      <c r="BE97">
        <v>1.617</v>
      </c>
      <c r="BF97">
        <v>172.458</v>
      </c>
      <c r="BG97">
        <v>0.9993749999999999</v>
      </c>
      <c r="BH97">
        <v>182.124</v>
      </c>
      <c r="BI97">
        <v>6.2499999999999995E-3</v>
      </c>
      <c r="BJ97">
        <v>0.33600000000000002</v>
      </c>
      <c r="BK97">
        <v>-30.529</v>
      </c>
      <c r="BL97">
        <v>339.80200000000002</v>
      </c>
      <c r="BM97">
        <v>337.28500000000003</v>
      </c>
      <c r="BN97">
        <v>11.281000000000001</v>
      </c>
      <c r="BO97">
        <v>295.12400000000002</v>
      </c>
      <c r="BP97">
        <v>379.44600000000003</v>
      </c>
      <c r="BQ97">
        <v>961.51400000000001</v>
      </c>
      <c r="BR97">
        <v>969.69399999999996</v>
      </c>
      <c r="BS97">
        <v>54.051000000000002</v>
      </c>
      <c r="BT97">
        <v>927.53300000000002</v>
      </c>
      <c r="BU97">
        <v>1349.14</v>
      </c>
      <c r="BV97">
        <v>3590.259</v>
      </c>
      <c r="BW97">
        <v>3583.652</v>
      </c>
      <c r="BX97">
        <v>124.496</v>
      </c>
      <c r="BY97">
        <v>2909.0819999999999</v>
      </c>
      <c r="BZ97">
        <v>3836.616</v>
      </c>
      <c r="CA97">
        <v>3.2</v>
      </c>
      <c r="CB97">
        <v>5</v>
      </c>
      <c r="CC97">
        <v>1</v>
      </c>
      <c r="CD97">
        <v>0</v>
      </c>
      <c r="CE97">
        <v>1</v>
      </c>
      <c r="CF97">
        <v>0</v>
      </c>
    </row>
    <row r="98" spans="1:84" x14ac:dyDescent="0.35">
      <c r="A98" t="s">
        <v>506</v>
      </c>
      <c r="B98" t="str">
        <f t="shared" si="7"/>
        <v xml:space="preserve"> li_se_2005_11_04_636</v>
      </c>
      <c r="C98" s="1">
        <f t="shared" ref="C98:C129" si="8">DATEVALUE(SUBSTITUTE(_xlfn.TEXTAFTER(_xlfn.TEXTBEFORE(A98," -"),"a2_"),"_","/"))</f>
        <v>45762</v>
      </c>
      <c r="D98" t="s">
        <v>78</v>
      </c>
      <c r="E98">
        <v>223.27199999999999</v>
      </c>
      <c r="F98">
        <v>223.53399999999999</v>
      </c>
      <c r="G98">
        <v>2.6920000000000002</v>
      </c>
      <c r="H98">
        <v>207.042</v>
      </c>
      <c r="I98">
        <v>8.1967213114754103E-3</v>
      </c>
      <c r="J98">
        <v>237.46199999999999</v>
      </c>
      <c r="K98">
        <v>0.99918032786885258</v>
      </c>
      <c r="L98">
        <v>0.33500000000000002</v>
      </c>
      <c r="M98">
        <v>-24.646999999999998</v>
      </c>
      <c r="N98">
        <v>756.822</v>
      </c>
      <c r="O98">
        <v>758.47699999999998</v>
      </c>
      <c r="P98">
        <v>69.814999999999998</v>
      </c>
      <c r="Q98">
        <v>379.238</v>
      </c>
      <c r="R98">
        <v>866.83</v>
      </c>
      <c r="S98">
        <v>1081.47</v>
      </c>
      <c r="T98">
        <v>1083.538</v>
      </c>
      <c r="U98">
        <v>49.106999999999999</v>
      </c>
      <c r="V98">
        <v>1029.3610000000001</v>
      </c>
      <c r="W98">
        <v>1300.2460000000001</v>
      </c>
      <c r="X98">
        <v>2630.6819999999998</v>
      </c>
      <c r="Y98">
        <v>2654.6680000000001</v>
      </c>
      <c r="Z98">
        <v>126.104</v>
      </c>
      <c r="AA98">
        <v>2275.4299999999998</v>
      </c>
      <c r="AB98">
        <v>2817.1990000000001</v>
      </c>
      <c r="AC98">
        <v>2.44</v>
      </c>
      <c r="AD98">
        <v>234.56800000000001</v>
      </c>
      <c r="AE98">
        <v>233.59899999999999</v>
      </c>
      <c r="AF98">
        <v>5.9960000000000004</v>
      </c>
      <c r="AG98">
        <v>222.727</v>
      </c>
      <c r="AH98">
        <v>0.62745098039215685</v>
      </c>
      <c r="AI98">
        <v>251.18</v>
      </c>
      <c r="AJ98">
        <v>0</v>
      </c>
      <c r="AK98">
        <v>0.82</v>
      </c>
      <c r="AL98">
        <v>-25.45</v>
      </c>
      <c r="AM98">
        <v>322.13299999999998</v>
      </c>
      <c r="AN98">
        <v>340.541</v>
      </c>
      <c r="AO98">
        <v>28.352</v>
      </c>
      <c r="AP98">
        <v>283.78399999999999</v>
      </c>
      <c r="AQ98">
        <v>397.29700000000003</v>
      </c>
      <c r="AR98">
        <v>2312.0500000000002</v>
      </c>
      <c r="AS98">
        <v>2383.7840000000001</v>
      </c>
      <c r="AT98">
        <v>186.666</v>
      </c>
      <c r="AU98">
        <v>1589.1890000000001</v>
      </c>
      <c r="AV98">
        <v>2497.297</v>
      </c>
      <c r="AW98">
        <v>3675.2489999999998</v>
      </c>
      <c r="AX98">
        <v>3689.1889999999999</v>
      </c>
      <c r="AY98">
        <v>253.32499999999999</v>
      </c>
      <c r="AZ98">
        <v>2667.5680000000002</v>
      </c>
      <c r="BA98">
        <v>4710.8109999999997</v>
      </c>
      <c r="BB98">
        <v>2.04</v>
      </c>
      <c r="BC98">
        <v>233.23599999999999</v>
      </c>
      <c r="BD98">
        <v>230.54499999999999</v>
      </c>
      <c r="BE98">
        <v>13.621</v>
      </c>
      <c r="BF98">
        <v>120.869</v>
      </c>
      <c r="BG98">
        <v>8.4905660377358472E-3</v>
      </c>
      <c r="BH98">
        <v>263.17099999999999</v>
      </c>
      <c r="BI98">
        <v>0.97594339622641502</v>
      </c>
      <c r="BJ98">
        <v>2.1059999999999999</v>
      </c>
      <c r="BK98">
        <v>-27.297000000000001</v>
      </c>
      <c r="BL98">
        <v>412.53899999999999</v>
      </c>
      <c r="BM98">
        <v>395.76900000000001</v>
      </c>
      <c r="BN98">
        <v>28.922999999999998</v>
      </c>
      <c r="BO98">
        <v>339.23099999999999</v>
      </c>
      <c r="BP98">
        <v>452.30799999999999</v>
      </c>
      <c r="BQ98">
        <v>1090.627</v>
      </c>
      <c r="BR98">
        <v>1074.231</v>
      </c>
      <c r="BS98">
        <v>62.4</v>
      </c>
      <c r="BT98">
        <v>961.154</v>
      </c>
      <c r="BU98">
        <v>1413.462</v>
      </c>
      <c r="BV98">
        <v>2818.299</v>
      </c>
      <c r="BW98">
        <v>2826.9229999999998</v>
      </c>
      <c r="BX98">
        <v>227.91399999999999</v>
      </c>
      <c r="BY98">
        <v>2374.6149999999998</v>
      </c>
      <c r="BZ98">
        <v>3448.846</v>
      </c>
      <c r="CA98">
        <v>2.12</v>
      </c>
    </row>
    <row r="99" spans="1:84" x14ac:dyDescent="0.35">
      <c r="A99" t="s">
        <v>507</v>
      </c>
      <c r="B99" t="str">
        <f t="shared" si="7"/>
        <v xml:space="preserve"> lu_ma_2005_11_04_366</v>
      </c>
      <c r="C99" s="1">
        <f t="shared" si="8"/>
        <v>45762</v>
      </c>
      <c r="D99" t="s">
        <v>78</v>
      </c>
      <c r="E99">
        <v>178.166</v>
      </c>
      <c r="F99">
        <v>177.108</v>
      </c>
      <c r="G99">
        <v>4.7770000000000001</v>
      </c>
      <c r="H99">
        <v>164.55199999999999</v>
      </c>
      <c r="I99">
        <v>0.98954248366013076</v>
      </c>
      <c r="J99">
        <v>203.226</v>
      </c>
      <c r="K99">
        <v>7.8431372549019607E-3</v>
      </c>
      <c r="L99">
        <v>0.38600000000000001</v>
      </c>
      <c r="M99">
        <v>-22.369</v>
      </c>
      <c r="N99">
        <v>765.96600000000001</v>
      </c>
      <c r="O99">
        <v>766.95699999999999</v>
      </c>
      <c r="P99">
        <v>33.459000000000003</v>
      </c>
      <c r="Q99">
        <v>681.73900000000003</v>
      </c>
      <c r="R99">
        <v>852.17399999999998</v>
      </c>
      <c r="S99">
        <v>1290.674</v>
      </c>
      <c r="T99">
        <v>1235.652</v>
      </c>
      <c r="U99">
        <v>134.53800000000001</v>
      </c>
      <c r="V99">
        <v>1107.826</v>
      </c>
      <c r="W99">
        <v>1661.739</v>
      </c>
      <c r="X99">
        <v>2909.9430000000002</v>
      </c>
      <c r="Y99">
        <v>2897.3910000000001</v>
      </c>
      <c r="Z99">
        <v>190.80500000000001</v>
      </c>
      <c r="AA99">
        <v>2641.739</v>
      </c>
      <c r="AB99">
        <v>4047.826</v>
      </c>
      <c r="AC99">
        <v>3.06</v>
      </c>
      <c r="AD99">
        <v>191.43600000000001</v>
      </c>
      <c r="AE99">
        <v>191.14599999999999</v>
      </c>
      <c r="AF99">
        <v>4.0599999999999996</v>
      </c>
      <c r="AG99">
        <v>176.4</v>
      </c>
      <c r="AH99">
        <v>0.98235294117647054</v>
      </c>
      <c r="AI99">
        <v>218.78100000000001</v>
      </c>
      <c r="AJ99">
        <v>0</v>
      </c>
      <c r="AK99">
        <v>0.60299999999999998</v>
      </c>
      <c r="AL99">
        <v>-22.164000000000001</v>
      </c>
      <c r="AM99">
        <v>362.59800000000001</v>
      </c>
      <c r="AN99">
        <v>367.11799999999999</v>
      </c>
      <c r="AO99">
        <v>14.851000000000001</v>
      </c>
      <c r="AP99">
        <v>275.33800000000002</v>
      </c>
      <c r="AQ99">
        <v>367.11799999999999</v>
      </c>
      <c r="AR99">
        <v>2463.83</v>
      </c>
      <c r="AS99">
        <v>2523.933</v>
      </c>
      <c r="AT99">
        <v>179.108</v>
      </c>
      <c r="AU99">
        <v>1606.1389999999999</v>
      </c>
      <c r="AV99">
        <v>2615.7130000000002</v>
      </c>
      <c r="AW99">
        <v>3213.93</v>
      </c>
      <c r="AX99">
        <v>3074.61</v>
      </c>
      <c r="AY99">
        <v>477.55200000000002</v>
      </c>
      <c r="AZ99">
        <v>2615.7130000000002</v>
      </c>
      <c r="BA99">
        <v>4221.8519999999999</v>
      </c>
      <c r="BB99">
        <v>3.06</v>
      </c>
      <c r="BC99">
        <v>192.15</v>
      </c>
      <c r="BD99">
        <v>192.51599999999999</v>
      </c>
      <c r="BE99">
        <v>2.7109999999999999</v>
      </c>
      <c r="BF99">
        <v>175.99799999999999</v>
      </c>
      <c r="BG99">
        <v>0.98798701298701297</v>
      </c>
      <c r="BH99">
        <v>196.249</v>
      </c>
      <c r="BI99">
        <v>0.74610389610389605</v>
      </c>
      <c r="BJ99">
        <v>0.49299999999999999</v>
      </c>
      <c r="BK99">
        <v>-22.667999999999999</v>
      </c>
      <c r="BL99">
        <v>438.63299999999998</v>
      </c>
      <c r="BM99">
        <v>414.30099999999999</v>
      </c>
      <c r="BN99">
        <v>41.85</v>
      </c>
      <c r="BO99">
        <v>322.23399999999998</v>
      </c>
      <c r="BP99">
        <v>552.40099999999995</v>
      </c>
      <c r="BQ99">
        <v>1086.3879999999999</v>
      </c>
      <c r="BR99">
        <v>1058.768</v>
      </c>
      <c r="BS99">
        <v>142.834</v>
      </c>
      <c r="BT99">
        <v>966.70100000000002</v>
      </c>
      <c r="BU99">
        <v>1657.203</v>
      </c>
      <c r="BV99">
        <v>3789.2069999999999</v>
      </c>
      <c r="BW99">
        <v>3751.7220000000002</v>
      </c>
      <c r="BX99">
        <v>246.08199999999999</v>
      </c>
      <c r="BY99">
        <v>3038.2049999999999</v>
      </c>
      <c r="BZ99">
        <v>4281.1059999999998</v>
      </c>
      <c r="CA99">
        <v>3.08</v>
      </c>
      <c r="CB99">
        <v>9</v>
      </c>
      <c r="CC99">
        <v>5</v>
      </c>
      <c r="CD99">
        <v>0</v>
      </c>
      <c r="CE99">
        <v>5</v>
      </c>
      <c r="CF99">
        <v>3</v>
      </c>
    </row>
    <row r="100" spans="1:84" x14ac:dyDescent="0.35">
      <c r="A100" t="s">
        <v>508</v>
      </c>
      <c r="B100" t="str">
        <f t="shared" si="7"/>
        <v xml:space="preserve"> ly_vi_2005_11_24_863</v>
      </c>
      <c r="C100" s="1">
        <f t="shared" si="8"/>
        <v>45762</v>
      </c>
      <c r="D100" t="s">
        <v>78</v>
      </c>
      <c r="E100">
        <v>188.13200000000001</v>
      </c>
      <c r="F100">
        <v>186.864</v>
      </c>
      <c r="G100">
        <v>7.2789999999999999</v>
      </c>
      <c r="H100">
        <v>183.53200000000001</v>
      </c>
      <c r="I100">
        <v>0.93534482758620696</v>
      </c>
      <c r="J100">
        <v>254.28299999999999</v>
      </c>
      <c r="K100">
        <v>9.482758620689655E-3</v>
      </c>
      <c r="L100">
        <v>0.74199999999999999</v>
      </c>
      <c r="M100">
        <v>-24.896999999999998</v>
      </c>
      <c r="N100">
        <v>639.01499999999999</v>
      </c>
      <c r="O100">
        <v>631.93399999999997</v>
      </c>
      <c r="P100">
        <v>68.040000000000006</v>
      </c>
      <c r="Q100">
        <v>361.10500000000002</v>
      </c>
      <c r="R100">
        <v>812.48699999999997</v>
      </c>
      <c r="S100">
        <v>1191.6479999999999</v>
      </c>
      <c r="T100">
        <v>1173.5930000000001</v>
      </c>
      <c r="U100">
        <v>111.861</v>
      </c>
      <c r="V100">
        <v>1128.454</v>
      </c>
      <c r="W100">
        <v>2121.4940000000001</v>
      </c>
      <c r="X100">
        <v>2848.9639999999999</v>
      </c>
      <c r="Y100">
        <v>2798.567</v>
      </c>
      <c r="Z100">
        <v>198.803</v>
      </c>
      <c r="AA100">
        <v>2618.0140000000001</v>
      </c>
      <c r="AB100">
        <v>4242.9889999999996</v>
      </c>
      <c r="AC100">
        <v>2.3199999999999998</v>
      </c>
      <c r="AD100">
        <v>194.28299999999999</v>
      </c>
      <c r="AE100">
        <v>192.81700000000001</v>
      </c>
      <c r="AF100">
        <v>4.1980000000000004</v>
      </c>
      <c r="AG100">
        <v>189.96899999999999</v>
      </c>
      <c r="AH100">
        <v>0.59701492537313428</v>
      </c>
      <c r="AI100">
        <v>216.63200000000001</v>
      </c>
      <c r="AJ100">
        <v>0</v>
      </c>
      <c r="AK100">
        <v>0.51500000000000001</v>
      </c>
      <c r="AL100">
        <v>-23.177</v>
      </c>
      <c r="AM100">
        <v>327.33699999999999</v>
      </c>
      <c r="AN100">
        <v>321.89800000000002</v>
      </c>
      <c r="AO100">
        <v>30.207999999999998</v>
      </c>
      <c r="AP100">
        <v>321.89800000000002</v>
      </c>
      <c r="AQ100">
        <v>597.80999999999995</v>
      </c>
      <c r="AR100">
        <v>2349.056</v>
      </c>
      <c r="AS100">
        <v>2345.2550000000001</v>
      </c>
      <c r="AT100">
        <v>77.765000000000001</v>
      </c>
      <c r="AU100">
        <v>1747.4449999999999</v>
      </c>
      <c r="AV100">
        <v>2437.2260000000001</v>
      </c>
      <c r="AW100">
        <v>3197.4929999999999</v>
      </c>
      <c r="AX100">
        <v>3172.9929999999999</v>
      </c>
      <c r="AY100">
        <v>222.32900000000001</v>
      </c>
      <c r="AZ100">
        <v>2759.1239999999998</v>
      </c>
      <c r="BA100">
        <v>3954.7449999999999</v>
      </c>
      <c r="BB100">
        <v>2.68</v>
      </c>
      <c r="BC100">
        <v>194.74</v>
      </c>
      <c r="BD100">
        <v>194.39500000000001</v>
      </c>
      <c r="BE100">
        <v>1.9350000000000001</v>
      </c>
      <c r="BF100">
        <v>191.858</v>
      </c>
      <c r="BG100">
        <v>0.7723926380368098</v>
      </c>
      <c r="BH100">
        <v>203.226</v>
      </c>
      <c r="BI100">
        <v>1.9325153374233132E-2</v>
      </c>
      <c r="BJ100">
        <v>0.375</v>
      </c>
      <c r="BK100">
        <v>-24.635999999999999</v>
      </c>
      <c r="BL100">
        <v>369.971</v>
      </c>
      <c r="BM100">
        <v>370.58800000000002</v>
      </c>
      <c r="BN100">
        <v>5331</v>
      </c>
      <c r="BO100">
        <v>324.26499999999999</v>
      </c>
      <c r="BP100">
        <v>370.58800000000002</v>
      </c>
      <c r="BQ100">
        <v>1100.029</v>
      </c>
      <c r="BR100">
        <v>1065.441</v>
      </c>
      <c r="BS100">
        <v>63.317</v>
      </c>
      <c r="BT100">
        <v>972.79399999999998</v>
      </c>
      <c r="BU100">
        <v>1297.059</v>
      </c>
      <c r="BV100">
        <v>2941.5439999999999</v>
      </c>
      <c r="BW100">
        <v>2918.3820000000001</v>
      </c>
      <c r="BX100">
        <v>154.596</v>
      </c>
      <c r="BY100">
        <v>2594.1179999999999</v>
      </c>
      <c r="BZ100">
        <v>3335.2939999999999</v>
      </c>
      <c r="CA100">
        <v>3.26</v>
      </c>
      <c r="CB100">
        <v>4</v>
      </c>
      <c r="CC100">
        <v>4</v>
      </c>
      <c r="CD100">
        <v>1</v>
      </c>
      <c r="CE100">
        <v>2</v>
      </c>
      <c r="CF100">
        <v>4</v>
      </c>
    </row>
    <row r="101" spans="1:84" x14ac:dyDescent="0.35">
      <c r="A101" t="s">
        <v>414</v>
      </c>
      <c r="B101" t="str">
        <f t="shared" si="7"/>
        <v xml:space="preserve"> ma_ca_1996_09_14_696</v>
      </c>
      <c r="C101" s="1">
        <f t="shared" si="8"/>
        <v>45790</v>
      </c>
      <c r="D101" t="s">
        <v>78</v>
      </c>
      <c r="E101">
        <v>221.03700000000001</v>
      </c>
      <c r="F101">
        <v>220.97399999999999</v>
      </c>
      <c r="G101">
        <v>1.349</v>
      </c>
      <c r="H101">
        <v>214.078</v>
      </c>
      <c r="I101">
        <v>0</v>
      </c>
      <c r="J101">
        <v>224.346</v>
      </c>
      <c r="K101">
        <v>0.98425925925925917</v>
      </c>
      <c r="L101">
        <v>0.34100000000000003</v>
      </c>
      <c r="M101">
        <v>-27.783999999999999</v>
      </c>
      <c r="N101">
        <v>558.14400000000001</v>
      </c>
      <c r="O101">
        <v>536.49599999999998</v>
      </c>
      <c r="P101">
        <v>120.223</v>
      </c>
      <c r="Q101">
        <v>375.54700000000003</v>
      </c>
      <c r="R101">
        <v>912.04399999999998</v>
      </c>
      <c r="S101">
        <v>1068.7570000000001</v>
      </c>
      <c r="T101">
        <v>1072.9929999999999</v>
      </c>
      <c r="U101">
        <v>55.935000000000002</v>
      </c>
      <c r="V101">
        <v>1019.343</v>
      </c>
      <c r="W101">
        <v>1341.241</v>
      </c>
      <c r="X101">
        <v>2804.37</v>
      </c>
      <c r="Y101">
        <v>2789.7809999999999</v>
      </c>
      <c r="Z101">
        <v>220.13900000000001</v>
      </c>
      <c r="AA101">
        <v>2253.2849999999999</v>
      </c>
      <c r="AB101">
        <v>3272.6280000000002</v>
      </c>
      <c r="AC101">
        <v>2.16</v>
      </c>
      <c r="AD101">
        <v>222.08600000000001</v>
      </c>
      <c r="AE101">
        <v>222.40600000000001</v>
      </c>
      <c r="AF101">
        <v>2.649</v>
      </c>
      <c r="AG101">
        <v>201.37</v>
      </c>
      <c r="AH101">
        <v>0.99958333333333338</v>
      </c>
      <c r="AI101">
        <v>228.328</v>
      </c>
      <c r="AJ101">
        <v>0.70291666666666675</v>
      </c>
      <c r="AK101">
        <v>0.41099999999999998</v>
      </c>
      <c r="AL101">
        <v>-29.195</v>
      </c>
      <c r="AM101">
        <v>376.923</v>
      </c>
      <c r="AN101">
        <v>376.923</v>
      </c>
      <c r="AO101">
        <v>0</v>
      </c>
      <c r="AP101">
        <v>376.923</v>
      </c>
      <c r="AQ101">
        <v>376.923</v>
      </c>
      <c r="AR101">
        <v>1794.8720000000001</v>
      </c>
      <c r="AS101">
        <v>1723.077</v>
      </c>
      <c r="AT101">
        <v>329.005</v>
      </c>
      <c r="AU101">
        <v>1507.692</v>
      </c>
      <c r="AV101">
        <v>2153.846</v>
      </c>
      <c r="AW101">
        <v>3214.3629999999998</v>
      </c>
      <c r="AX101">
        <v>3176.9229999999998</v>
      </c>
      <c r="AY101">
        <v>175.63</v>
      </c>
      <c r="AZ101">
        <v>2907.692</v>
      </c>
      <c r="BA101">
        <v>3715.3850000000002</v>
      </c>
      <c r="BB101">
        <v>2.4</v>
      </c>
      <c r="BC101">
        <v>222.529</v>
      </c>
      <c r="BD101">
        <v>222.56700000000001</v>
      </c>
      <c r="BE101">
        <v>2.9260000000000002</v>
      </c>
      <c r="BF101">
        <v>212.01900000000001</v>
      </c>
      <c r="BG101">
        <v>9.4999999999999998E-3</v>
      </c>
      <c r="BH101">
        <v>240.98400000000001</v>
      </c>
      <c r="BI101">
        <v>0.98499999999999999</v>
      </c>
      <c r="BJ101">
        <v>0.48599999999999999</v>
      </c>
      <c r="BK101">
        <v>-30.393000000000001</v>
      </c>
      <c r="BL101">
        <v>419.48700000000002</v>
      </c>
      <c r="BM101">
        <v>430.76900000000001</v>
      </c>
      <c r="BN101">
        <v>24.42</v>
      </c>
      <c r="BO101">
        <v>376.923</v>
      </c>
      <c r="BP101">
        <v>484.61500000000001</v>
      </c>
      <c r="BQ101">
        <v>968.63199999999995</v>
      </c>
      <c r="BR101">
        <v>969.23099999999999</v>
      </c>
      <c r="BS101">
        <v>66.314999999999998</v>
      </c>
      <c r="BT101">
        <v>915.38499999999999</v>
      </c>
      <c r="BU101">
        <v>1453.846</v>
      </c>
      <c r="BV101">
        <v>3120.5369999999998</v>
      </c>
      <c r="BW101">
        <v>3176.9229999999998</v>
      </c>
      <c r="BX101">
        <v>283.214</v>
      </c>
      <c r="BY101">
        <v>2423.0770000000002</v>
      </c>
      <c r="BZ101">
        <v>3715.3850000000002</v>
      </c>
      <c r="CA101">
        <v>2</v>
      </c>
      <c r="CB101">
        <v>7</v>
      </c>
      <c r="CC101">
        <v>1</v>
      </c>
      <c r="CD101">
        <v>0</v>
      </c>
      <c r="CE101">
        <v>0</v>
      </c>
      <c r="CF101">
        <v>0</v>
      </c>
    </row>
    <row r="102" spans="1:84" x14ac:dyDescent="0.35">
      <c r="A102" t="s">
        <v>509</v>
      </c>
      <c r="B102" t="str">
        <f t="shared" si="7"/>
        <v xml:space="preserve"> ma_fa_2000_06_25_721</v>
      </c>
      <c r="C102" s="1">
        <f t="shared" si="8"/>
        <v>45762</v>
      </c>
      <c r="D102" t="s">
        <v>78</v>
      </c>
      <c r="E102">
        <v>197.21899999999999</v>
      </c>
      <c r="F102">
        <v>196.624</v>
      </c>
      <c r="G102">
        <v>3.226</v>
      </c>
      <c r="H102">
        <v>192.33600000000001</v>
      </c>
      <c r="I102">
        <v>3.4415584415584413E-2</v>
      </c>
      <c r="J102">
        <v>217.24100000000001</v>
      </c>
      <c r="K102">
        <v>0.98863636363636354</v>
      </c>
      <c r="L102">
        <v>0.5</v>
      </c>
      <c r="M102">
        <v>-30.065999999999999</v>
      </c>
      <c r="N102">
        <v>417.779</v>
      </c>
      <c r="O102">
        <v>428.61799999999999</v>
      </c>
      <c r="P102">
        <v>35.384</v>
      </c>
      <c r="Q102">
        <v>333.36900000000003</v>
      </c>
      <c r="R102">
        <v>523.86599999999999</v>
      </c>
      <c r="S102">
        <v>1169.1079999999999</v>
      </c>
      <c r="T102">
        <v>1190.605</v>
      </c>
      <c r="U102">
        <v>41.704999999999998</v>
      </c>
      <c r="V102">
        <v>1047.732</v>
      </c>
      <c r="W102">
        <v>1285.8530000000001</v>
      </c>
      <c r="X102">
        <v>3805.337</v>
      </c>
      <c r="Y102">
        <v>3809.9349999999999</v>
      </c>
      <c r="Z102">
        <v>107.715</v>
      </c>
      <c r="AA102">
        <v>3428.942</v>
      </c>
      <c r="AB102">
        <v>4000.4319999999998</v>
      </c>
      <c r="AC102">
        <v>3.08</v>
      </c>
      <c r="AD102">
        <v>196.37100000000001</v>
      </c>
      <c r="AE102">
        <v>195.876</v>
      </c>
      <c r="AF102">
        <v>3.28</v>
      </c>
      <c r="AG102">
        <v>193.542</v>
      </c>
      <c r="AH102">
        <v>5.9202453987730067E-2</v>
      </c>
      <c r="AI102">
        <v>225.49299999999999</v>
      </c>
      <c r="AJ102">
        <v>0</v>
      </c>
      <c r="AK102">
        <v>0.315</v>
      </c>
      <c r="AL102">
        <v>-30.414000000000001</v>
      </c>
      <c r="AM102">
        <v>328.44299999999998</v>
      </c>
      <c r="AN102">
        <v>328.75400000000002</v>
      </c>
      <c r="AO102">
        <v>3822</v>
      </c>
      <c r="AP102">
        <v>281.78899999999999</v>
      </c>
      <c r="AQ102">
        <v>328.75400000000002</v>
      </c>
      <c r="AW102">
        <v>3977.1819999999998</v>
      </c>
      <c r="AX102">
        <v>3992.0129999999999</v>
      </c>
      <c r="AY102">
        <v>151.47800000000001</v>
      </c>
      <c r="AZ102">
        <v>3616.2939999999999</v>
      </c>
      <c r="BA102">
        <v>4414.6959999999999</v>
      </c>
      <c r="BB102">
        <v>3.26</v>
      </c>
      <c r="BC102">
        <v>196.92500000000001</v>
      </c>
      <c r="BD102">
        <v>197.126</v>
      </c>
      <c r="BE102">
        <v>1.6040000000000001</v>
      </c>
      <c r="BF102">
        <v>184.74</v>
      </c>
      <c r="BG102">
        <v>0.99777070063694262</v>
      </c>
      <c r="BH102">
        <v>201.501</v>
      </c>
      <c r="BI102">
        <v>1.3057324840764332E-2</v>
      </c>
      <c r="BJ102">
        <v>0.35499999999999998</v>
      </c>
      <c r="BK102">
        <v>-30.428000000000001</v>
      </c>
      <c r="BL102">
        <v>331.54</v>
      </c>
      <c r="BM102">
        <v>330.51400000000001</v>
      </c>
      <c r="BN102">
        <v>6962</v>
      </c>
      <c r="BO102">
        <v>330.51400000000001</v>
      </c>
      <c r="BP102">
        <v>377.73</v>
      </c>
      <c r="BQ102">
        <v>976.51800000000003</v>
      </c>
      <c r="BR102">
        <v>991.54200000000003</v>
      </c>
      <c r="BS102">
        <v>30.161000000000001</v>
      </c>
      <c r="BT102">
        <v>944.32500000000005</v>
      </c>
      <c r="BU102">
        <v>1038.758</v>
      </c>
      <c r="BV102">
        <v>3649.143</v>
      </c>
      <c r="BW102">
        <v>3588.4369999999999</v>
      </c>
      <c r="BX102">
        <v>442.96199999999999</v>
      </c>
      <c r="BY102">
        <v>2832.9760000000001</v>
      </c>
      <c r="BZ102">
        <v>4485.5460000000003</v>
      </c>
      <c r="CA102">
        <v>3.14</v>
      </c>
      <c r="CB102">
        <v>5</v>
      </c>
      <c r="CC102">
        <v>0</v>
      </c>
      <c r="CD102">
        <v>0</v>
      </c>
      <c r="CE102">
        <v>2</v>
      </c>
      <c r="CF102">
        <v>4</v>
      </c>
    </row>
    <row r="103" spans="1:84" x14ac:dyDescent="0.35">
      <c r="A103" t="s">
        <v>510</v>
      </c>
      <c r="B103" t="str">
        <f t="shared" si="7"/>
        <v xml:space="preserve"> ma_ie_2000_07_31_515</v>
      </c>
      <c r="C103" s="1">
        <f t="shared" si="8"/>
        <v>45762</v>
      </c>
      <c r="D103" t="s">
        <v>78</v>
      </c>
      <c r="E103">
        <v>180.11699999999999</v>
      </c>
      <c r="F103">
        <v>180.21</v>
      </c>
      <c r="G103">
        <v>1.419</v>
      </c>
      <c r="H103">
        <v>176.905</v>
      </c>
      <c r="I103">
        <v>8.8535031847133766E-2</v>
      </c>
      <c r="J103">
        <v>190.08600000000001</v>
      </c>
      <c r="K103">
        <v>0.99363057324840764</v>
      </c>
      <c r="L103">
        <v>0.54900000000000004</v>
      </c>
      <c r="M103">
        <v>-20.863</v>
      </c>
      <c r="N103">
        <v>445.43799999999999</v>
      </c>
      <c r="O103">
        <v>428.988</v>
      </c>
      <c r="P103">
        <v>49.738</v>
      </c>
      <c r="Q103">
        <v>386.089</v>
      </c>
      <c r="R103">
        <v>557.68499999999995</v>
      </c>
      <c r="S103">
        <v>1183.943</v>
      </c>
      <c r="T103">
        <v>1201.1669999999999</v>
      </c>
      <c r="U103">
        <v>38.537999999999997</v>
      </c>
      <c r="V103">
        <v>1115.3699999999999</v>
      </c>
      <c r="W103">
        <v>1286.9649999999999</v>
      </c>
      <c r="X103">
        <v>3039.6889999999999</v>
      </c>
      <c r="Y103">
        <v>3045.817</v>
      </c>
      <c r="Z103">
        <v>77.632999999999996</v>
      </c>
      <c r="AA103">
        <v>2788.424</v>
      </c>
      <c r="AB103">
        <v>3174.5140000000001</v>
      </c>
      <c r="AC103">
        <v>3.14</v>
      </c>
      <c r="AD103">
        <v>189.35400000000001</v>
      </c>
      <c r="AE103">
        <v>189.50299999999999</v>
      </c>
      <c r="AF103">
        <v>3.0009999999999999</v>
      </c>
      <c r="AG103">
        <v>168.41200000000001</v>
      </c>
      <c r="AH103">
        <v>0</v>
      </c>
      <c r="AI103">
        <v>200.19499999999999</v>
      </c>
      <c r="AJ103">
        <v>0.85581395348837208</v>
      </c>
      <c r="AK103">
        <v>0.46100000000000002</v>
      </c>
      <c r="AL103">
        <v>-27.908000000000001</v>
      </c>
      <c r="AM103">
        <v>358.88600000000002</v>
      </c>
      <c r="AN103">
        <v>361.10500000000002</v>
      </c>
      <c r="AO103">
        <v>9842</v>
      </c>
      <c r="AP103">
        <v>315.96699999999998</v>
      </c>
      <c r="AQ103">
        <v>361.10500000000002</v>
      </c>
      <c r="AR103">
        <v>1655.067</v>
      </c>
      <c r="AS103">
        <v>1670.1130000000001</v>
      </c>
      <c r="AT103">
        <v>67.706999999999994</v>
      </c>
      <c r="AU103">
        <v>1579.836</v>
      </c>
      <c r="AV103">
        <v>1760.3889999999999</v>
      </c>
      <c r="AW103">
        <v>3233.828</v>
      </c>
      <c r="AX103">
        <v>3204.8110000000001</v>
      </c>
      <c r="AY103">
        <v>74.906999999999996</v>
      </c>
      <c r="AZ103">
        <v>3069.3960000000002</v>
      </c>
      <c r="BA103">
        <v>3475.64</v>
      </c>
      <c r="BB103">
        <v>3.44</v>
      </c>
      <c r="BC103">
        <v>192.09899999999999</v>
      </c>
      <c r="BD103">
        <v>192.21700000000001</v>
      </c>
      <c r="BE103">
        <v>1.4990000000000001</v>
      </c>
      <c r="BF103">
        <v>189.154</v>
      </c>
      <c r="BG103">
        <v>0.37558823529411761</v>
      </c>
      <c r="BH103">
        <v>202.42599999999999</v>
      </c>
      <c r="BI103">
        <v>0.99794117647058822</v>
      </c>
      <c r="BJ103">
        <v>0.316</v>
      </c>
      <c r="BK103">
        <v>-27.43</v>
      </c>
      <c r="BL103">
        <v>320.17399999999998</v>
      </c>
      <c r="BM103">
        <v>319.565</v>
      </c>
      <c r="BN103">
        <v>7455</v>
      </c>
      <c r="BO103">
        <v>273.91300000000001</v>
      </c>
      <c r="BP103">
        <v>365.21699999999998</v>
      </c>
      <c r="BQ103">
        <v>1307.9880000000001</v>
      </c>
      <c r="BR103">
        <v>1323.913</v>
      </c>
      <c r="BS103">
        <v>65.23</v>
      </c>
      <c r="BT103">
        <v>1186.9570000000001</v>
      </c>
      <c r="BU103">
        <v>1460.87</v>
      </c>
      <c r="BV103">
        <v>3190.6129999999998</v>
      </c>
      <c r="BW103">
        <v>3104.348</v>
      </c>
      <c r="BX103">
        <v>282.75</v>
      </c>
      <c r="BY103">
        <v>2647.826</v>
      </c>
      <c r="BZ103">
        <v>3971.739</v>
      </c>
      <c r="CA103">
        <v>3.4</v>
      </c>
    </row>
    <row r="104" spans="1:84" x14ac:dyDescent="0.35">
      <c r="A104" t="s">
        <v>511</v>
      </c>
      <c r="B104" t="str">
        <f t="shared" si="7"/>
        <v xml:space="preserve"> ma_lo_2005_06_26_262</v>
      </c>
      <c r="C104" s="1">
        <f t="shared" si="8"/>
        <v>45762</v>
      </c>
      <c r="D104" t="s">
        <v>78</v>
      </c>
      <c r="E104">
        <v>174.27</v>
      </c>
      <c r="F104">
        <v>174.505</v>
      </c>
      <c r="G104">
        <v>2.2759999999999998</v>
      </c>
      <c r="H104">
        <v>165.78899999999999</v>
      </c>
      <c r="I104">
        <v>0.98548387096774182</v>
      </c>
      <c r="J104">
        <v>178.95699999999999</v>
      </c>
      <c r="K104">
        <v>1.2903225806451613E-2</v>
      </c>
      <c r="L104">
        <v>0.66800000000000004</v>
      </c>
      <c r="M104">
        <v>-23.51</v>
      </c>
      <c r="N104">
        <v>620.72699999999998</v>
      </c>
      <c r="O104">
        <v>630</v>
      </c>
      <c r="P104">
        <v>53.917000000000002</v>
      </c>
      <c r="Q104">
        <v>462</v>
      </c>
      <c r="R104">
        <v>882</v>
      </c>
      <c r="S104">
        <v>1108.655</v>
      </c>
      <c r="T104">
        <v>1134</v>
      </c>
      <c r="U104">
        <v>37.680999999999997</v>
      </c>
      <c r="V104">
        <v>1008</v>
      </c>
      <c r="W104">
        <v>1176</v>
      </c>
      <c r="X104">
        <v>3172.9090000000001</v>
      </c>
      <c r="Y104">
        <v>3150</v>
      </c>
      <c r="Z104">
        <v>216.267</v>
      </c>
      <c r="AA104">
        <v>2688</v>
      </c>
      <c r="AB104">
        <v>3948</v>
      </c>
      <c r="AC104">
        <v>1.86</v>
      </c>
      <c r="AD104">
        <v>184.52699999999999</v>
      </c>
      <c r="AE104">
        <v>176.85499999999999</v>
      </c>
      <c r="AF104">
        <v>29.734000000000002</v>
      </c>
      <c r="AG104">
        <v>172.74799999999999</v>
      </c>
      <c r="AH104">
        <v>0.96150000000000002</v>
      </c>
      <c r="AI104">
        <v>326.66699999999997</v>
      </c>
      <c r="AJ104">
        <v>3.5000000000000003E-2</v>
      </c>
      <c r="AK104">
        <v>1.3460000000000001</v>
      </c>
      <c r="AL104">
        <v>-24.387</v>
      </c>
      <c r="AM104">
        <v>348.79300000000001</v>
      </c>
      <c r="AN104">
        <v>349.30700000000002</v>
      </c>
      <c r="AO104">
        <v>10.64</v>
      </c>
      <c r="AP104">
        <v>305.64400000000001</v>
      </c>
      <c r="AQ104">
        <v>392.97</v>
      </c>
      <c r="AR104">
        <v>1746.5350000000001</v>
      </c>
      <c r="AS104">
        <v>1746.5350000000001</v>
      </c>
      <c r="AT104">
        <v>0</v>
      </c>
      <c r="AU104">
        <v>1746.5350000000001</v>
      </c>
      <c r="AV104">
        <v>1746.5350000000001</v>
      </c>
      <c r="AW104">
        <v>3790.0819999999999</v>
      </c>
      <c r="AX104">
        <v>3798.7130000000002</v>
      </c>
      <c r="AY104">
        <v>181.804</v>
      </c>
      <c r="AZ104">
        <v>3231.0889999999999</v>
      </c>
      <c r="BA104">
        <v>4235.3469999999998</v>
      </c>
      <c r="BB104">
        <v>2</v>
      </c>
      <c r="BC104">
        <v>185.95</v>
      </c>
      <c r="BD104">
        <v>185.405</v>
      </c>
      <c r="BE104">
        <v>6.72</v>
      </c>
      <c r="BF104">
        <v>168.321</v>
      </c>
      <c r="BG104">
        <v>2.4456521739130432E-2</v>
      </c>
      <c r="BH104">
        <v>234.75299999999999</v>
      </c>
      <c r="BI104">
        <v>1.2499999999999999E-2</v>
      </c>
      <c r="BJ104">
        <v>1.2909999999999999</v>
      </c>
      <c r="BK104">
        <v>-26.951000000000001</v>
      </c>
      <c r="BL104">
        <v>360.75700000000001</v>
      </c>
      <c r="BM104">
        <v>357.447</v>
      </c>
      <c r="BN104">
        <v>15.442</v>
      </c>
      <c r="BO104">
        <v>357.447</v>
      </c>
      <c r="BP104">
        <v>446.80900000000003</v>
      </c>
      <c r="BQ104">
        <v>1005.319</v>
      </c>
      <c r="BR104">
        <v>982.97900000000004</v>
      </c>
      <c r="BS104">
        <v>83.59</v>
      </c>
      <c r="BT104">
        <v>938.298</v>
      </c>
      <c r="BU104">
        <v>1161.702</v>
      </c>
      <c r="BV104">
        <v>3691.4110000000001</v>
      </c>
      <c r="BW104">
        <v>3708.511</v>
      </c>
      <c r="BX104">
        <v>222.124</v>
      </c>
      <c r="BY104">
        <v>2859.5740000000001</v>
      </c>
      <c r="BZ104">
        <v>4065.9569999999999</v>
      </c>
      <c r="CA104">
        <v>1.84</v>
      </c>
      <c r="CB104">
        <v>7</v>
      </c>
      <c r="CC104">
        <v>0</v>
      </c>
      <c r="CD104">
        <v>1</v>
      </c>
      <c r="CE104">
        <v>4</v>
      </c>
      <c r="CF104">
        <v>0</v>
      </c>
    </row>
    <row r="105" spans="1:84" x14ac:dyDescent="0.35">
      <c r="A105" t="s">
        <v>512</v>
      </c>
      <c r="B105" t="str">
        <f t="shared" si="7"/>
        <v xml:space="preserve"> ma_ma_2004_10_11_947</v>
      </c>
      <c r="C105" s="1">
        <f t="shared" si="8"/>
        <v>45762</v>
      </c>
      <c r="D105" t="s">
        <v>78</v>
      </c>
      <c r="E105">
        <v>176.52099999999999</v>
      </c>
      <c r="F105">
        <v>175.797</v>
      </c>
      <c r="G105">
        <v>3.3010000000000002</v>
      </c>
      <c r="H105">
        <v>170.93</v>
      </c>
      <c r="I105">
        <v>0.56710526315789467</v>
      </c>
      <c r="J105">
        <v>184.07900000000001</v>
      </c>
      <c r="K105">
        <v>3.1578947368421054E-2</v>
      </c>
      <c r="L105">
        <v>0.59599999999999997</v>
      </c>
      <c r="M105">
        <v>-22.55</v>
      </c>
      <c r="N105">
        <v>809.71199999999999</v>
      </c>
      <c r="O105">
        <v>805.673</v>
      </c>
      <c r="P105">
        <v>40.811</v>
      </c>
      <c r="Q105">
        <v>636.05799999999999</v>
      </c>
      <c r="R105">
        <v>890.48099999999999</v>
      </c>
      <c r="S105">
        <v>1037.415</v>
      </c>
      <c r="T105">
        <v>1017.692</v>
      </c>
      <c r="U105">
        <v>25.084</v>
      </c>
      <c r="V105">
        <v>1017.692</v>
      </c>
      <c r="W105">
        <v>1102.5</v>
      </c>
      <c r="X105">
        <v>2571.154</v>
      </c>
      <c r="Y105">
        <v>2586.6350000000002</v>
      </c>
      <c r="Z105">
        <v>194.51300000000001</v>
      </c>
      <c r="AA105">
        <v>2120.192</v>
      </c>
      <c r="AB105">
        <v>3222.692</v>
      </c>
      <c r="AC105">
        <v>1.52</v>
      </c>
      <c r="AD105">
        <v>178.05</v>
      </c>
      <c r="AE105">
        <v>176.804</v>
      </c>
      <c r="AF105">
        <v>4.3579999999999997</v>
      </c>
      <c r="AG105">
        <v>171.786</v>
      </c>
      <c r="AH105">
        <v>0.96399999999999997</v>
      </c>
      <c r="AI105">
        <v>199.03299999999999</v>
      </c>
      <c r="AJ105">
        <v>1.6E-2</v>
      </c>
      <c r="AK105">
        <v>0.69799999999999995</v>
      </c>
      <c r="AL105">
        <v>-20.378</v>
      </c>
      <c r="AM105">
        <v>338.69</v>
      </c>
      <c r="AN105">
        <v>337.28500000000003</v>
      </c>
      <c r="AO105">
        <v>7632</v>
      </c>
      <c r="AP105">
        <v>337.28500000000003</v>
      </c>
      <c r="AQ105">
        <v>379.44600000000003</v>
      </c>
      <c r="AR105">
        <v>1848.04</v>
      </c>
      <c r="AS105">
        <v>1939.3879999999999</v>
      </c>
      <c r="AT105">
        <v>331.34800000000001</v>
      </c>
      <c r="AU105">
        <v>1264.818</v>
      </c>
      <c r="AV105">
        <v>2192.3519999999999</v>
      </c>
      <c r="AW105">
        <v>3908.6970000000001</v>
      </c>
      <c r="AX105">
        <v>3920.9369999999999</v>
      </c>
      <c r="AY105">
        <v>162.55199999999999</v>
      </c>
      <c r="AZ105">
        <v>3457.17</v>
      </c>
      <c r="BA105">
        <v>4258.2219999999998</v>
      </c>
      <c r="BB105">
        <v>1.5</v>
      </c>
      <c r="BC105">
        <v>179.964</v>
      </c>
      <c r="BD105">
        <v>179.89500000000001</v>
      </c>
      <c r="BE105">
        <v>2.835</v>
      </c>
      <c r="BF105">
        <v>169.989</v>
      </c>
      <c r="BG105">
        <v>0</v>
      </c>
      <c r="BH105">
        <v>186.97800000000001</v>
      </c>
      <c r="BI105">
        <v>6.3333333333333339E-2</v>
      </c>
      <c r="BJ105">
        <v>0.59499999999999997</v>
      </c>
      <c r="BK105">
        <v>-27.393999999999998</v>
      </c>
      <c r="BL105">
        <v>389.22699999999998</v>
      </c>
      <c r="BM105">
        <v>385.714</v>
      </c>
      <c r="BN105">
        <v>14.204000000000001</v>
      </c>
      <c r="BO105">
        <v>342.85700000000003</v>
      </c>
      <c r="BP105">
        <v>428.57100000000003</v>
      </c>
      <c r="BQ105">
        <v>1068.2539999999999</v>
      </c>
      <c r="BR105">
        <v>1050</v>
      </c>
      <c r="BS105">
        <v>64.944000000000003</v>
      </c>
      <c r="BT105">
        <v>985.71400000000006</v>
      </c>
      <c r="BU105">
        <v>1242.857</v>
      </c>
      <c r="BV105">
        <v>3021.7689999999998</v>
      </c>
      <c r="BW105">
        <v>3042.857</v>
      </c>
      <c r="BX105">
        <v>219.72900000000001</v>
      </c>
      <c r="BY105">
        <v>2571.4290000000001</v>
      </c>
      <c r="BZ105">
        <v>3557.143</v>
      </c>
      <c r="CA105">
        <v>1.5</v>
      </c>
      <c r="CB105">
        <v>5</v>
      </c>
      <c r="CC105">
        <v>0</v>
      </c>
      <c r="CD105">
        <v>0</v>
      </c>
      <c r="CE105">
        <v>2</v>
      </c>
      <c r="CF105">
        <v>4</v>
      </c>
    </row>
    <row r="106" spans="1:84" x14ac:dyDescent="0.35">
      <c r="A106" t="s">
        <v>513</v>
      </c>
      <c r="B106" t="str">
        <f t="shared" ref="B106:B137" si="9">_xlfn.TEXTAFTER(A106,"-")</f>
        <v xml:space="preserve"> ma_ma_2005_05_18_423</v>
      </c>
      <c r="C106" s="1">
        <f t="shared" si="8"/>
        <v>45762</v>
      </c>
      <c r="D106" t="s">
        <v>78</v>
      </c>
      <c r="E106">
        <v>156.024</v>
      </c>
      <c r="F106">
        <v>155.126</v>
      </c>
      <c r="G106">
        <v>5.625</v>
      </c>
      <c r="H106">
        <v>147.13999999999999</v>
      </c>
      <c r="I106">
        <v>0.98885135135135138</v>
      </c>
      <c r="J106">
        <v>203.226</v>
      </c>
      <c r="K106">
        <v>9.1216216216216221E-3</v>
      </c>
      <c r="L106">
        <v>0.88700000000000001</v>
      </c>
      <c r="M106">
        <v>-27.248999999999999</v>
      </c>
      <c r="N106">
        <v>572.36800000000005</v>
      </c>
      <c r="O106">
        <v>558.69899999999996</v>
      </c>
      <c r="P106">
        <v>30.268000000000001</v>
      </c>
      <c r="Q106">
        <v>484.20600000000002</v>
      </c>
      <c r="R106">
        <v>633.19299999999998</v>
      </c>
      <c r="S106">
        <v>1125.5930000000001</v>
      </c>
      <c r="T106">
        <v>1117.3989999999999</v>
      </c>
      <c r="U106">
        <v>47.226999999999997</v>
      </c>
      <c r="V106">
        <v>1042.905</v>
      </c>
      <c r="W106">
        <v>1378.125</v>
      </c>
      <c r="X106">
        <v>3130.0830000000001</v>
      </c>
      <c r="Y106">
        <v>3128.7159999999999</v>
      </c>
      <c r="Z106">
        <v>193.06899999999999</v>
      </c>
      <c r="AA106">
        <v>2197.5509999999999</v>
      </c>
      <c r="AB106">
        <v>3538.4290000000001</v>
      </c>
      <c r="AC106">
        <v>2.96</v>
      </c>
      <c r="AD106">
        <v>156.70400000000001</v>
      </c>
      <c r="AE106">
        <v>156.38300000000001</v>
      </c>
      <c r="AF106">
        <v>2.84</v>
      </c>
      <c r="AG106">
        <v>152.21899999999999</v>
      </c>
      <c r="AH106">
        <v>0.97026143790849662</v>
      </c>
      <c r="AI106">
        <v>175.99799999999999</v>
      </c>
      <c r="AJ106">
        <v>8.8235294117647058E-3</v>
      </c>
      <c r="AK106">
        <v>0.82599999999999996</v>
      </c>
      <c r="AL106">
        <v>-25</v>
      </c>
      <c r="AM106">
        <v>350.70400000000001</v>
      </c>
      <c r="AN106">
        <v>336.35599999999999</v>
      </c>
      <c r="AO106">
        <v>22.571999999999999</v>
      </c>
      <c r="AP106">
        <v>298.983</v>
      </c>
      <c r="AQ106">
        <v>411.10199999999998</v>
      </c>
      <c r="AR106">
        <v>1635.0640000000001</v>
      </c>
      <c r="AS106">
        <v>1569.6610000000001</v>
      </c>
      <c r="AT106">
        <v>281.62799999999999</v>
      </c>
      <c r="AU106">
        <v>1420.1690000000001</v>
      </c>
      <c r="AV106">
        <v>2317.1190000000001</v>
      </c>
      <c r="AW106">
        <v>3717.7750000000001</v>
      </c>
      <c r="AX106">
        <v>3774.6610000000001</v>
      </c>
      <c r="AY106">
        <v>225.02</v>
      </c>
      <c r="AZ106">
        <v>2952.4580000000001</v>
      </c>
      <c r="BA106">
        <v>4111.0169999999998</v>
      </c>
      <c r="BB106">
        <v>3.06</v>
      </c>
      <c r="BC106">
        <v>157.149</v>
      </c>
      <c r="BD106">
        <v>157.059</v>
      </c>
      <c r="BE106">
        <v>1.8280000000000001</v>
      </c>
      <c r="BF106">
        <v>153.20099999999999</v>
      </c>
      <c r="BG106">
        <v>0.38867924528301884</v>
      </c>
      <c r="BH106">
        <v>163.506</v>
      </c>
      <c r="BI106">
        <v>0</v>
      </c>
      <c r="BJ106">
        <v>0.53100000000000003</v>
      </c>
      <c r="BK106">
        <v>-27.166</v>
      </c>
      <c r="BL106">
        <v>384.94299999999998</v>
      </c>
      <c r="BM106">
        <v>375.31900000000002</v>
      </c>
      <c r="BN106">
        <v>20.998000000000001</v>
      </c>
      <c r="BO106">
        <v>337.78699999999998</v>
      </c>
      <c r="BP106">
        <v>525.447</v>
      </c>
      <c r="BQ106">
        <v>1135.3399999999999</v>
      </c>
      <c r="BR106">
        <v>1125.9570000000001</v>
      </c>
      <c r="BS106">
        <v>43.722999999999999</v>
      </c>
      <c r="BT106">
        <v>1088.4259999999999</v>
      </c>
      <c r="BU106">
        <v>1238.5530000000001</v>
      </c>
      <c r="BV106">
        <v>3984.7440000000001</v>
      </c>
      <c r="BW106">
        <v>4015.915</v>
      </c>
      <c r="BX106">
        <v>151.03200000000001</v>
      </c>
      <c r="BY106">
        <v>3340.34</v>
      </c>
      <c r="BZ106">
        <v>4316.17</v>
      </c>
      <c r="CA106">
        <v>3.18</v>
      </c>
      <c r="CB106">
        <v>6</v>
      </c>
      <c r="CC106">
        <v>3</v>
      </c>
      <c r="CD106">
        <v>1</v>
      </c>
      <c r="CE106">
        <v>4</v>
      </c>
      <c r="CF106">
        <v>1</v>
      </c>
    </row>
    <row r="107" spans="1:84" x14ac:dyDescent="0.35">
      <c r="A107" t="s">
        <v>514</v>
      </c>
      <c r="B107" t="str">
        <f t="shared" si="9"/>
        <v xml:space="preserve"> ma_ma_2006_04_14_979</v>
      </c>
      <c r="C107" s="1">
        <f t="shared" si="8"/>
        <v>45762</v>
      </c>
      <c r="D107" t="s">
        <v>78</v>
      </c>
      <c r="E107">
        <v>200.227</v>
      </c>
      <c r="F107">
        <v>200.19499999999999</v>
      </c>
      <c r="G107">
        <v>3.306</v>
      </c>
      <c r="H107">
        <v>194.39500000000001</v>
      </c>
      <c r="I107">
        <v>6.5822784810126572E-2</v>
      </c>
      <c r="J107">
        <v>221.13200000000001</v>
      </c>
      <c r="K107">
        <v>1.2658227848101266E-2</v>
      </c>
      <c r="L107">
        <v>0.56299999999999994</v>
      </c>
      <c r="M107">
        <v>-27.451000000000001</v>
      </c>
      <c r="N107">
        <v>448.42200000000003</v>
      </c>
      <c r="O107">
        <v>432.82400000000001</v>
      </c>
      <c r="P107">
        <v>74.293999999999997</v>
      </c>
      <c r="Q107">
        <v>336.64100000000002</v>
      </c>
      <c r="R107">
        <v>769.46600000000001</v>
      </c>
      <c r="S107">
        <v>1206.1369999999999</v>
      </c>
      <c r="T107">
        <v>1202.29</v>
      </c>
      <c r="U107">
        <v>64.599000000000004</v>
      </c>
      <c r="V107">
        <v>1058.0150000000001</v>
      </c>
      <c r="W107">
        <v>1298.473</v>
      </c>
      <c r="X107">
        <v>3266.3820000000001</v>
      </c>
      <c r="Y107">
        <v>3270.2289999999998</v>
      </c>
      <c r="Z107">
        <v>89.364999999999995</v>
      </c>
      <c r="AA107">
        <v>3029.7710000000002</v>
      </c>
      <c r="AB107">
        <v>3462.5949999999998</v>
      </c>
      <c r="AC107">
        <v>1.58</v>
      </c>
      <c r="AD107">
        <v>198.48</v>
      </c>
      <c r="AE107">
        <v>197.75800000000001</v>
      </c>
      <c r="AF107">
        <v>3.7450000000000001</v>
      </c>
      <c r="AG107">
        <v>195.256</v>
      </c>
      <c r="AH107">
        <v>0.9296875</v>
      </c>
      <c r="AI107">
        <v>228.49700000000001</v>
      </c>
      <c r="AJ107">
        <v>0</v>
      </c>
      <c r="AK107">
        <v>0.48699999999999999</v>
      </c>
      <c r="AL107">
        <v>-28.385000000000002</v>
      </c>
      <c r="AM107">
        <v>335.17200000000003</v>
      </c>
      <c r="AN107">
        <v>333.01</v>
      </c>
      <c r="AO107">
        <v>9966</v>
      </c>
      <c r="AP107">
        <v>333.01</v>
      </c>
      <c r="AQ107">
        <v>380.58300000000003</v>
      </c>
      <c r="AR107">
        <v>2553.0740000000001</v>
      </c>
      <c r="AS107">
        <v>2568.9319999999998</v>
      </c>
      <c r="AT107">
        <v>52.832000000000001</v>
      </c>
      <c r="AU107">
        <v>2473.7860000000001</v>
      </c>
      <c r="AV107">
        <v>2616.5050000000001</v>
      </c>
      <c r="AW107">
        <v>3347.0120000000002</v>
      </c>
      <c r="AX107">
        <v>3330.0970000000002</v>
      </c>
      <c r="AY107">
        <v>173.56200000000001</v>
      </c>
      <c r="AZ107">
        <v>3044.66</v>
      </c>
      <c r="BA107">
        <v>3710.68</v>
      </c>
      <c r="BB107">
        <v>1.92</v>
      </c>
      <c r="BC107">
        <v>201.30199999999999</v>
      </c>
      <c r="BD107">
        <v>200.846</v>
      </c>
      <c r="BE107">
        <v>2.4780000000000002</v>
      </c>
      <c r="BF107">
        <v>198.26599999999999</v>
      </c>
      <c r="BG107">
        <v>0.88684210526315799</v>
      </c>
      <c r="BH107">
        <v>218.93600000000001</v>
      </c>
      <c r="BI107">
        <v>0</v>
      </c>
      <c r="BJ107">
        <v>0.376</v>
      </c>
      <c r="BK107">
        <v>-29.498999999999999</v>
      </c>
      <c r="BL107">
        <v>343.49</v>
      </c>
      <c r="BM107">
        <v>340.35300000000001</v>
      </c>
      <c r="BN107">
        <v>12.141999999999999</v>
      </c>
      <c r="BO107">
        <v>340.35300000000001</v>
      </c>
      <c r="BP107">
        <v>388.97500000000002</v>
      </c>
      <c r="BQ107">
        <v>1207.704</v>
      </c>
      <c r="BR107">
        <v>1215.546</v>
      </c>
      <c r="BS107">
        <v>77.486999999999995</v>
      </c>
      <c r="BT107">
        <v>1021.058</v>
      </c>
      <c r="BU107">
        <v>1458.655</v>
      </c>
      <c r="BV107">
        <v>3221.864</v>
      </c>
      <c r="BW107">
        <v>3209.0410000000002</v>
      </c>
      <c r="BX107">
        <v>211.79300000000001</v>
      </c>
      <c r="BY107">
        <v>2771.444</v>
      </c>
      <c r="BZ107">
        <v>3792.5030000000002</v>
      </c>
      <c r="CA107">
        <v>1.9</v>
      </c>
      <c r="CB107">
        <v>7</v>
      </c>
      <c r="CC107">
        <v>3</v>
      </c>
      <c r="CD107">
        <v>0</v>
      </c>
      <c r="CE107">
        <v>5</v>
      </c>
      <c r="CF107">
        <v>0</v>
      </c>
    </row>
    <row r="108" spans="1:84" x14ac:dyDescent="0.35">
      <c r="A108" t="s">
        <v>515</v>
      </c>
      <c r="B108" t="str">
        <f t="shared" si="9"/>
        <v xml:space="preserve"> ma_mo_2005_03_08_142</v>
      </c>
      <c r="C108" s="1">
        <f t="shared" si="8"/>
        <v>45762</v>
      </c>
      <c r="D108" t="s">
        <v>78</v>
      </c>
      <c r="E108">
        <v>197.45400000000001</v>
      </c>
      <c r="F108">
        <v>196.875</v>
      </c>
      <c r="G108">
        <v>2.7679999999999998</v>
      </c>
      <c r="H108">
        <v>191.501</v>
      </c>
      <c r="I108">
        <v>0.4256521739130435</v>
      </c>
      <c r="J108">
        <v>208.58099999999999</v>
      </c>
      <c r="K108">
        <v>0.9913043478260869</v>
      </c>
      <c r="L108">
        <v>0.36399999999999999</v>
      </c>
      <c r="M108">
        <v>-25.167000000000002</v>
      </c>
      <c r="N108">
        <v>754.35299999999995</v>
      </c>
      <c r="O108">
        <v>757.89499999999998</v>
      </c>
      <c r="P108">
        <v>90.555999999999997</v>
      </c>
      <c r="Q108">
        <v>426.31599999999997</v>
      </c>
      <c r="R108">
        <v>852.63199999999995</v>
      </c>
      <c r="S108">
        <v>1104.4580000000001</v>
      </c>
      <c r="T108">
        <v>1089.4739999999999</v>
      </c>
      <c r="U108">
        <v>39.424999999999997</v>
      </c>
      <c r="V108">
        <v>1042.105</v>
      </c>
      <c r="W108">
        <v>1278.9469999999999</v>
      </c>
      <c r="X108">
        <v>3219.2820000000002</v>
      </c>
      <c r="Y108">
        <v>3221.0529999999999</v>
      </c>
      <c r="Z108">
        <v>126.322</v>
      </c>
      <c r="AA108">
        <v>2652.6320000000001</v>
      </c>
      <c r="AB108">
        <v>3457.895</v>
      </c>
      <c r="AC108">
        <v>2.2999999999999998</v>
      </c>
      <c r="AD108">
        <v>202.09800000000001</v>
      </c>
      <c r="AE108">
        <v>201.76499999999999</v>
      </c>
      <c r="AF108">
        <v>3.08</v>
      </c>
      <c r="AG108">
        <v>188.577</v>
      </c>
      <c r="AH108">
        <v>0.98017241379310349</v>
      </c>
      <c r="AI108">
        <v>210.286</v>
      </c>
      <c r="AJ108">
        <v>9.0517241379310352E-3</v>
      </c>
      <c r="AK108">
        <v>0.52700000000000002</v>
      </c>
      <c r="AL108">
        <v>-29.251000000000001</v>
      </c>
      <c r="AM108">
        <v>376.54399999999998</v>
      </c>
      <c r="AN108">
        <v>386.84199999999998</v>
      </c>
      <c r="AO108">
        <v>19.888999999999999</v>
      </c>
      <c r="AP108">
        <v>338.48700000000002</v>
      </c>
      <c r="AQ108">
        <v>386.84199999999998</v>
      </c>
      <c r="AR108">
        <v>2408.0920000000001</v>
      </c>
      <c r="AS108">
        <v>2417.7629999999999</v>
      </c>
      <c r="AT108">
        <v>185.39699999999999</v>
      </c>
      <c r="AU108">
        <v>2175.9870000000001</v>
      </c>
      <c r="AV108">
        <v>2611.1840000000002</v>
      </c>
      <c r="AW108">
        <v>3591.3580000000002</v>
      </c>
      <c r="AX108">
        <v>3626.645</v>
      </c>
      <c r="AY108">
        <v>236.16800000000001</v>
      </c>
      <c r="AZ108">
        <v>2852.9609999999998</v>
      </c>
      <c r="BA108">
        <v>3965.1320000000001</v>
      </c>
      <c r="BB108">
        <v>2.3199999999999998</v>
      </c>
      <c r="BC108">
        <v>179.60400000000001</v>
      </c>
      <c r="BD108">
        <v>183.53200000000001</v>
      </c>
      <c r="BE108">
        <v>20.555</v>
      </c>
      <c r="BF108">
        <v>90</v>
      </c>
      <c r="BG108">
        <v>0.98478260869565226</v>
      </c>
      <c r="BH108">
        <v>196</v>
      </c>
      <c r="BI108">
        <v>0</v>
      </c>
      <c r="BJ108">
        <v>1.6930000000000001</v>
      </c>
      <c r="BK108">
        <v>-30.01</v>
      </c>
      <c r="BL108">
        <v>380.55700000000002</v>
      </c>
      <c r="BM108">
        <v>393.36</v>
      </c>
      <c r="BN108">
        <v>28.099</v>
      </c>
      <c r="BO108">
        <v>349.65300000000002</v>
      </c>
      <c r="BP108">
        <v>480.77300000000002</v>
      </c>
      <c r="BQ108">
        <v>1018.497</v>
      </c>
      <c r="BR108">
        <v>1005.253</v>
      </c>
      <c r="BS108">
        <v>38.607999999999997</v>
      </c>
      <c r="BT108">
        <v>1005.253</v>
      </c>
      <c r="BU108">
        <v>1180.079</v>
      </c>
      <c r="BV108">
        <v>3441.788</v>
      </c>
      <c r="BW108">
        <v>3409.1179999999999</v>
      </c>
      <c r="BX108">
        <v>290.34300000000002</v>
      </c>
      <c r="BY108">
        <v>2972.0520000000001</v>
      </c>
      <c r="BZ108">
        <v>4064.7179999999998</v>
      </c>
      <c r="CA108">
        <v>2.2999999999999998</v>
      </c>
      <c r="CB108">
        <v>8</v>
      </c>
      <c r="CC108">
        <v>0</v>
      </c>
      <c r="CD108">
        <v>0</v>
      </c>
      <c r="CE108">
        <v>4</v>
      </c>
      <c r="CF108">
        <v>5</v>
      </c>
    </row>
    <row r="109" spans="1:84" x14ac:dyDescent="0.35">
      <c r="A109" t="s">
        <v>516</v>
      </c>
      <c r="B109" t="str">
        <f t="shared" si="9"/>
        <v xml:space="preserve"> ma_mo_2006_01_19_745</v>
      </c>
      <c r="C109" s="1">
        <f t="shared" si="8"/>
        <v>45762</v>
      </c>
      <c r="D109" t="s">
        <v>78</v>
      </c>
      <c r="E109">
        <v>203.38499999999999</v>
      </c>
      <c r="F109">
        <v>194.23099999999999</v>
      </c>
      <c r="G109">
        <v>21.826000000000001</v>
      </c>
      <c r="H109">
        <v>184.29900000000001</v>
      </c>
      <c r="I109">
        <v>0.29772727272727273</v>
      </c>
      <c r="J109">
        <v>255.75800000000001</v>
      </c>
      <c r="K109">
        <v>1</v>
      </c>
      <c r="L109">
        <v>2.39</v>
      </c>
      <c r="M109">
        <v>-25.67</v>
      </c>
      <c r="N109">
        <v>400.60300000000001</v>
      </c>
      <c r="O109">
        <v>428.61799999999999</v>
      </c>
      <c r="P109">
        <v>60.845999999999997</v>
      </c>
      <c r="Q109">
        <v>285.745</v>
      </c>
      <c r="R109">
        <v>523.86599999999999</v>
      </c>
      <c r="S109">
        <v>1285.8530000000001</v>
      </c>
      <c r="T109">
        <v>1285.8530000000001</v>
      </c>
      <c r="U109">
        <v>57.814</v>
      </c>
      <c r="V109">
        <v>1190.605</v>
      </c>
      <c r="W109">
        <v>1381.1020000000001</v>
      </c>
      <c r="X109">
        <v>2757.4409999999998</v>
      </c>
      <c r="Y109">
        <v>2714.5790000000002</v>
      </c>
      <c r="Z109">
        <v>136.375</v>
      </c>
      <c r="AA109">
        <v>2571.7060000000001</v>
      </c>
      <c r="AB109">
        <v>3047.9479999999999</v>
      </c>
      <c r="AC109">
        <v>0.44</v>
      </c>
      <c r="AD109">
        <v>188.845</v>
      </c>
      <c r="AE109">
        <v>198.07599999999999</v>
      </c>
      <c r="AF109">
        <v>39.244</v>
      </c>
      <c r="AG109">
        <v>107.937</v>
      </c>
      <c r="AH109">
        <v>0.74</v>
      </c>
      <c r="AI109">
        <v>259.41199999999998</v>
      </c>
      <c r="AJ109">
        <v>0.96</v>
      </c>
      <c r="AK109">
        <v>9.4459999999999997</v>
      </c>
      <c r="AL109">
        <v>-26.995999999999999</v>
      </c>
      <c r="AM109">
        <v>331.13600000000002</v>
      </c>
      <c r="AN109">
        <v>334.81599999999997</v>
      </c>
      <c r="AO109">
        <v>23.606999999999999</v>
      </c>
      <c r="AP109">
        <v>286.98500000000001</v>
      </c>
      <c r="AQ109">
        <v>382.64600000000002</v>
      </c>
      <c r="AR109">
        <v>1967.585</v>
      </c>
      <c r="AS109">
        <v>1961.0630000000001</v>
      </c>
      <c r="AT109">
        <v>231.184</v>
      </c>
      <c r="AU109">
        <v>1530.586</v>
      </c>
      <c r="AV109">
        <v>2391.54</v>
      </c>
      <c r="AW109">
        <v>3441.6439999999998</v>
      </c>
      <c r="AX109">
        <v>3419.902</v>
      </c>
      <c r="AY109">
        <v>192.16300000000001</v>
      </c>
      <c r="AZ109">
        <v>3013.3409999999999</v>
      </c>
      <c r="BA109">
        <v>3730.8029999999999</v>
      </c>
      <c r="BB109">
        <v>0.5</v>
      </c>
      <c r="BC109">
        <v>215.417</v>
      </c>
      <c r="BD109">
        <v>195.62700000000001</v>
      </c>
      <c r="BE109">
        <v>35.68</v>
      </c>
      <c r="BF109">
        <v>182.55500000000001</v>
      </c>
      <c r="BG109">
        <v>0.21666666666666667</v>
      </c>
      <c r="BH109">
        <v>287.16300000000001</v>
      </c>
      <c r="BI109">
        <v>0.91250000000000009</v>
      </c>
      <c r="BJ109">
        <v>2.996</v>
      </c>
      <c r="BK109">
        <v>-25.213999999999999</v>
      </c>
      <c r="BL109">
        <v>339.13</v>
      </c>
      <c r="BM109">
        <v>350</v>
      </c>
      <c r="BN109">
        <v>21.087</v>
      </c>
      <c r="BO109">
        <v>300</v>
      </c>
      <c r="BP109">
        <v>350</v>
      </c>
      <c r="BQ109">
        <v>1426.19</v>
      </c>
      <c r="BR109">
        <v>1450</v>
      </c>
      <c r="BS109">
        <v>214.83699999999999</v>
      </c>
      <c r="BT109">
        <v>1100</v>
      </c>
      <c r="BU109">
        <v>1950</v>
      </c>
      <c r="BV109">
        <v>3186.9569999999999</v>
      </c>
      <c r="BW109">
        <v>3200</v>
      </c>
      <c r="BX109">
        <v>140.791</v>
      </c>
      <c r="BY109">
        <v>2900</v>
      </c>
      <c r="BZ109">
        <v>3450</v>
      </c>
      <c r="CA109">
        <v>0.48</v>
      </c>
      <c r="CB109">
        <v>5</v>
      </c>
      <c r="CC109">
        <v>5</v>
      </c>
      <c r="CD109">
        <v>0</v>
      </c>
      <c r="CE109">
        <v>6</v>
      </c>
      <c r="CF109">
        <v>5</v>
      </c>
    </row>
    <row r="110" spans="1:84" x14ac:dyDescent="0.35">
      <c r="A110" t="s">
        <v>517</v>
      </c>
      <c r="B110" t="str">
        <f t="shared" si="9"/>
        <v xml:space="preserve"> ma_pe_2005_09_29_691</v>
      </c>
      <c r="C110" s="1">
        <f t="shared" si="8"/>
        <v>45762</v>
      </c>
      <c r="D110" t="s">
        <v>78</v>
      </c>
      <c r="E110">
        <v>220.607</v>
      </c>
      <c r="F110">
        <v>220.5</v>
      </c>
      <c r="G110">
        <v>2.3679999999999999</v>
      </c>
      <c r="H110">
        <v>215.422</v>
      </c>
      <c r="I110">
        <v>4.7979797979797977E-3</v>
      </c>
      <c r="J110">
        <v>230.89</v>
      </c>
      <c r="K110">
        <v>0</v>
      </c>
      <c r="L110">
        <v>0.29299999999999998</v>
      </c>
      <c r="M110">
        <v>-24.606999999999999</v>
      </c>
      <c r="N110">
        <v>707.95600000000002</v>
      </c>
      <c r="O110">
        <v>693.22900000000004</v>
      </c>
      <c r="P110">
        <v>36.512</v>
      </c>
      <c r="Q110">
        <v>479.92700000000002</v>
      </c>
      <c r="R110">
        <v>853.20399999999995</v>
      </c>
      <c r="S110">
        <v>1195.7560000000001</v>
      </c>
      <c r="T110">
        <v>1173.1559999999999</v>
      </c>
      <c r="U110">
        <v>47.991</v>
      </c>
      <c r="V110">
        <v>1066.5050000000001</v>
      </c>
      <c r="W110">
        <v>1386.4570000000001</v>
      </c>
      <c r="X110">
        <v>2604.5590000000002</v>
      </c>
      <c r="Y110">
        <v>2612.9380000000001</v>
      </c>
      <c r="Z110">
        <v>60.588999999999999</v>
      </c>
      <c r="AA110">
        <v>2399.6370000000002</v>
      </c>
      <c r="AB110">
        <v>2826.239</v>
      </c>
      <c r="AC110">
        <v>3.96</v>
      </c>
      <c r="AD110">
        <v>219.46</v>
      </c>
      <c r="AE110">
        <v>219.40299999999999</v>
      </c>
      <c r="AF110">
        <v>1.38</v>
      </c>
      <c r="AG110">
        <v>213.191</v>
      </c>
      <c r="AH110">
        <v>0.99968553459119491</v>
      </c>
      <c r="AI110">
        <v>226.81899999999999</v>
      </c>
      <c r="AJ110">
        <v>1.2264150943396225E-2</v>
      </c>
      <c r="AK110">
        <v>0.25600000000000001</v>
      </c>
      <c r="AL110">
        <v>-28.718</v>
      </c>
      <c r="AM110">
        <v>417.024</v>
      </c>
      <c r="AN110">
        <v>425.57299999999998</v>
      </c>
      <c r="AO110">
        <v>19.596</v>
      </c>
      <c r="AP110">
        <v>372.37599999999998</v>
      </c>
      <c r="AQ110">
        <v>425.57299999999998</v>
      </c>
      <c r="AR110">
        <v>2354.192</v>
      </c>
      <c r="AS110">
        <v>2340.6509999999998</v>
      </c>
      <c r="AT110">
        <v>66.891999999999996</v>
      </c>
      <c r="AU110">
        <v>2181.0619999999999</v>
      </c>
      <c r="AV110">
        <v>2553.4380000000001</v>
      </c>
      <c r="AW110">
        <v>3151.2669999999998</v>
      </c>
      <c r="AX110">
        <v>3138.6010000000001</v>
      </c>
      <c r="AY110">
        <v>164.375</v>
      </c>
      <c r="AZ110">
        <v>2872.6179999999999</v>
      </c>
      <c r="BA110">
        <v>3564.174</v>
      </c>
      <c r="BB110">
        <v>3.18</v>
      </c>
      <c r="BC110">
        <v>221.55500000000001</v>
      </c>
      <c r="BD110">
        <v>221.608</v>
      </c>
      <c r="BE110">
        <v>1.22</v>
      </c>
      <c r="BF110">
        <v>216.63200000000001</v>
      </c>
      <c r="BG110">
        <v>0.99116022099447509</v>
      </c>
      <c r="BH110">
        <v>228.49700000000001</v>
      </c>
      <c r="BI110">
        <v>1.022099447513812E-2</v>
      </c>
      <c r="BJ110">
        <v>0.247</v>
      </c>
      <c r="BK110">
        <v>-30.954000000000001</v>
      </c>
      <c r="BL110">
        <v>428.84300000000002</v>
      </c>
      <c r="BM110">
        <v>430.24400000000003</v>
      </c>
      <c r="BN110">
        <v>8587</v>
      </c>
      <c r="BO110">
        <v>376.46300000000002</v>
      </c>
      <c r="BP110">
        <v>430.24400000000003</v>
      </c>
      <c r="BQ110">
        <v>1099.6389999999999</v>
      </c>
      <c r="BR110">
        <v>1129.3900000000001</v>
      </c>
      <c r="BS110">
        <v>45.604999999999997</v>
      </c>
      <c r="BT110">
        <v>968.04899999999998</v>
      </c>
      <c r="BU110">
        <v>1344.5119999999999</v>
      </c>
      <c r="BV110">
        <v>3809.498</v>
      </c>
      <c r="BW110">
        <v>3764.634</v>
      </c>
      <c r="BX110">
        <v>146.19</v>
      </c>
      <c r="BY110">
        <v>3119.268</v>
      </c>
      <c r="BZ110">
        <v>4141.098</v>
      </c>
      <c r="CA110">
        <v>3.62</v>
      </c>
      <c r="CB110">
        <v>3</v>
      </c>
      <c r="CC110">
        <v>5</v>
      </c>
      <c r="CD110">
        <v>3</v>
      </c>
      <c r="CE110">
        <v>6</v>
      </c>
      <c r="CF110">
        <v>0</v>
      </c>
    </row>
    <row r="111" spans="1:84" x14ac:dyDescent="0.35">
      <c r="A111" t="s">
        <v>518</v>
      </c>
      <c r="B111" t="str">
        <f t="shared" si="9"/>
        <v xml:space="preserve"> ma_pi_2004_12_22_169</v>
      </c>
      <c r="C111" s="1">
        <f t="shared" si="8"/>
        <v>45762</v>
      </c>
      <c r="D111" t="s">
        <v>78</v>
      </c>
      <c r="E111">
        <v>155.80799999999999</v>
      </c>
      <c r="F111">
        <v>155.75200000000001</v>
      </c>
      <c r="G111">
        <v>1.7490000000000001</v>
      </c>
      <c r="H111">
        <v>147</v>
      </c>
      <c r="I111">
        <v>8.2317073170731711E-3</v>
      </c>
      <c r="J111">
        <v>169.15100000000001</v>
      </c>
      <c r="K111">
        <v>0</v>
      </c>
      <c r="L111">
        <v>0.53500000000000003</v>
      </c>
      <c r="M111">
        <v>-21.841000000000001</v>
      </c>
      <c r="N111">
        <v>809.06399999999996</v>
      </c>
      <c r="O111">
        <v>817.35500000000002</v>
      </c>
      <c r="P111">
        <v>25.146999999999998</v>
      </c>
      <c r="Q111">
        <v>780.202</v>
      </c>
      <c r="R111">
        <v>854.50699999999995</v>
      </c>
      <c r="S111">
        <v>1211.604</v>
      </c>
      <c r="T111">
        <v>1226.0319999999999</v>
      </c>
      <c r="U111">
        <v>71.754000000000005</v>
      </c>
      <c r="V111">
        <v>1040.27</v>
      </c>
      <c r="W111">
        <v>1523.252</v>
      </c>
      <c r="X111">
        <v>3322.538</v>
      </c>
      <c r="Y111">
        <v>3269.4189999999999</v>
      </c>
      <c r="Z111">
        <v>299.488</v>
      </c>
      <c r="AA111">
        <v>2563.5210000000002</v>
      </c>
      <c r="AB111">
        <v>4123.9260000000004</v>
      </c>
      <c r="AC111">
        <v>3.28</v>
      </c>
      <c r="AD111">
        <v>159.446</v>
      </c>
      <c r="AE111">
        <v>158.87799999999999</v>
      </c>
      <c r="AF111">
        <v>2.1480000000000001</v>
      </c>
      <c r="AG111">
        <v>156.22499999999999</v>
      </c>
      <c r="AH111">
        <v>0.77483870967741941</v>
      </c>
      <c r="AI111">
        <v>166.14599999999999</v>
      </c>
      <c r="AJ111">
        <v>3.4193548387096775E-2</v>
      </c>
      <c r="AK111">
        <v>0.47399999999999998</v>
      </c>
      <c r="AL111">
        <v>-26.26</v>
      </c>
      <c r="AM111">
        <v>336.09500000000003</v>
      </c>
      <c r="AN111">
        <v>343.93400000000003</v>
      </c>
      <c r="AO111">
        <v>15.497</v>
      </c>
      <c r="AP111">
        <v>305.71899999999999</v>
      </c>
      <c r="AQ111">
        <v>343.93400000000003</v>
      </c>
      <c r="AR111">
        <v>2581.9560000000001</v>
      </c>
      <c r="AS111">
        <v>2598.614</v>
      </c>
      <c r="AT111">
        <v>33.43</v>
      </c>
      <c r="AU111">
        <v>2407.5390000000002</v>
      </c>
      <c r="AV111">
        <v>2636.828</v>
      </c>
      <c r="AW111">
        <v>3855.7860000000001</v>
      </c>
      <c r="AX111">
        <v>3897.92</v>
      </c>
      <c r="AY111">
        <v>219.435</v>
      </c>
      <c r="AZ111">
        <v>2789.6880000000001</v>
      </c>
      <c r="BA111">
        <v>4203.6400000000003</v>
      </c>
      <c r="BB111">
        <v>3.1</v>
      </c>
      <c r="BC111">
        <v>162.68100000000001</v>
      </c>
      <c r="BD111">
        <v>161.708</v>
      </c>
      <c r="BE111">
        <v>4.5279999999999996</v>
      </c>
      <c r="BF111">
        <v>158.14500000000001</v>
      </c>
      <c r="BG111">
        <v>0.61127819548872175</v>
      </c>
      <c r="BH111">
        <v>193.42099999999999</v>
      </c>
      <c r="BI111">
        <v>0</v>
      </c>
      <c r="BJ111">
        <v>0.53700000000000003</v>
      </c>
      <c r="BK111">
        <v>-28.818999999999999</v>
      </c>
      <c r="BL111">
        <v>373.82900000000001</v>
      </c>
      <c r="BM111">
        <v>391.30399999999997</v>
      </c>
      <c r="BN111">
        <v>21.73</v>
      </c>
      <c r="BO111">
        <v>352.17399999999998</v>
      </c>
      <c r="BP111">
        <v>430.435</v>
      </c>
      <c r="BQ111">
        <v>1236.355</v>
      </c>
      <c r="BR111">
        <v>1252.174</v>
      </c>
      <c r="BS111">
        <v>56.328000000000003</v>
      </c>
      <c r="BT111">
        <v>1017.391</v>
      </c>
      <c r="BU111">
        <v>1330.4349999999999</v>
      </c>
      <c r="BV111">
        <v>3773.2379999999998</v>
      </c>
      <c r="BW111">
        <v>3756.5219999999999</v>
      </c>
      <c r="BX111">
        <v>109.67</v>
      </c>
      <c r="BY111">
        <v>3521.739</v>
      </c>
      <c r="BZ111">
        <v>4186.9570000000003</v>
      </c>
      <c r="CA111">
        <v>2.66</v>
      </c>
      <c r="CB111">
        <v>8</v>
      </c>
      <c r="CC111">
        <v>6</v>
      </c>
      <c r="CD111">
        <v>0</v>
      </c>
      <c r="CE111">
        <v>6</v>
      </c>
      <c r="CF111">
        <v>2</v>
      </c>
    </row>
    <row r="112" spans="1:84" x14ac:dyDescent="0.35">
      <c r="A112" t="s">
        <v>519</v>
      </c>
      <c r="B112" t="str">
        <f t="shared" si="9"/>
        <v xml:space="preserve"> ma_ro_2004_01_18_699</v>
      </c>
      <c r="C112" s="1">
        <f t="shared" si="8"/>
        <v>45762</v>
      </c>
      <c r="D112" t="s">
        <v>78</v>
      </c>
      <c r="E112">
        <v>204.31700000000001</v>
      </c>
      <c r="F112">
        <v>204.30199999999999</v>
      </c>
      <c r="G112">
        <v>2.8149999999999999</v>
      </c>
      <c r="H112">
        <v>185.29400000000001</v>
      </c>
      <c r="I112">
        <v>0</v>
      </c>
      <c r="J112">
        <v>211.583</v>
      </c>
      <c r="K112">
        <v>0.98112582781456958</v>
      </c>
      <c r="L112">
        <v>0.51600000000000001</v>
      </c>
      <c r="M112">
        <v>-25.023</v>
      </c>
      <c r="N112">
        <v>772.96100000000001</v>
      </c>
      <c r="O112">
        <v>788.38</v>
      </c>
      <c r="P112">
        <v>69.397000000000006</v>
      </c>
      <c r="Q112">
        <v>295.642</v>
      </c>
      <c r="R112">
        <v>886.92700000000002</v>
      </c>
      <c r="S112">
        <v>1139.665</v>
      </c>
      <c r="T112">
        <v>1133.296</v>
      </c>
      <c r="U112">
        <v>50.366</v>
      </c>
      <c r="V112">
        <v>1034.749</v>
      </c>
      <c r="W112">
        <v>1330.3910000000001</v>
      </c>
      <c r="X112">
        <v>2459.33</v>
      </c>
      <c r="Y112">
        <v>2414.413</v>
      </c>
      <c r="Z112">
        <v>176.90199999999999</v>
      </c>
      <c r="AA112">
        <v>2168.0450000000001</v>
      </c>
      <c r="AB112">
        <v>3153.52</v>
      </c>
      <c r="AC112">
        <v>3.02</v>
      </c>
      <c r="AD112">
        <v>214.9</v>
      </c>
      <c r="AE112">
        <v>213.48500000000001</v>
      </c>
      <c r="AF112">
        <v>4.46</v>
      </c>
      <c r="AG112">
        <v>208.72200000000001</v>
      </c>
      <c r="AH112">
        <v>0.22593984962406014</v>
      </c>
      <c r="AI112">
        <v>228.49700000000001</v>
      </c>
      <c r="AJ112">
        <v>0.99699248120300754</v>
      </c>
      <c r="AK112">
        <v>0.48599999999999999</v>
      </c>
      <c r="AL112">
        <v>-28.038</v>
      </c>
      <c r="AM112">
        <v>364.46300000000002</v>
      </c>
      <c r="AN112">
        <v>364.46300000000002</v>
      </c>
      <c r="AO112">
        <v>6314</v>
      </c>
      <c r="AP112">
        <v>312.39699999999999</v>
      </c>
      <c r="AQ112">
        <v>416.529</v>
      </c>
      <c r="AR112">
        <v>2233.5030000000002</v>
      </c>
      <c r="AS112">
        <v>2186.777</v>
      </c>
      <c r="AT112">
        <v>151.93600000000001</v>
      </c>
      <c r="AU112">
        <v>1926.4459999999999</v>
      </c>
      <c r="AV112">
        <v>2551.2399999999998</v>
      </c>
      <c r="AW112">
        <v>3468.2869999999998</v>
      </c>
      <c r="AX112">
        <v>3488.43</v>
      </c>
      <c r="AY112">
        <v>258.89100000000002</v>
      </c>
      <c r="AZ112">
        <v>2655.3719999999998</v>
      </c>
      <c r="BA112">
        <v>3957.0250000000001</v>
      </c>
      <c r="BB112">
        <v>2.66</v>
      </c>
      <c r="BC112">
        <v>218.184</v>
      </c>
      <c r="BD112">
        <v>214.97200000000001</v>
      </c>
      <c r="BE112">
        <v>8.4</v>
      </c>
      <c r="BF112">
        <v>211.874</v>
      </c>
      <c r="BG112">
        <v>0.64508196721311484</v>
      </c>
      <c r="BH112">
        <v>250.77199999999999</v>
      </c>
      <c r="BI112">
        <v>0.99098360655737716</v>
      </c>
      <c r="BJ112">
        <v>0.48799999999999999</v>
      </c>
      <c r="BK112">
        <v>-31.338999999999999</v>
      </c>
      <c r="BL112">
        <v>379.90199999999999</v>
      </c>
      <c r="BM112">
        <v>367.5</v>
      </c>
      <c r="BN112">
        <v>37.683</v>
      </c>
      <c r="BO112">
        <v>315</v>
      </c>
      <c r="BP112">
        <v>682.5</v>
      </c>
      <c r="BQ112">
        <v>971.25</v>
      </c>
      <c r="BR112">
        <v>945</v>
      </c>
      <c r="BS112">
        <v>100.80200000000001</v>
      </c>
      <c r="BT112">
        <v>892.5</v>
      </c>
      <c r="BU112">
        <v>1522.5</v>
      </c>
      <c r="BV112">
        <v>3271.9490000000001</v>
      </c>
      <c r="BW112">
        <v>3360</v>
      </c>
      <c r="BX112">
        <v>429.77600000000001</v>
      </c>
      <c r="BY112">
        <v>2100</v>
      </c>
      <c r="BZ112">
        <v>4200</v>
      </c>
      <c r="CA112">
        <v>2.44</v>
      </c>
      <c r="CB112">
        <v>7</v>
      </c>
      <c r="CC112">
        <v>2</v>
      </c>
      <c r="CD112">
        <v>0</v>
      </c>
      <c r="CE112">
        <v>3</v>
      </c>
      <c r="CF112">
        <v>0</v>
      </c>
    </row>
    <row r="113" spans="1:84" x14ac:dyDescent="0.35">
      <c r="A113" t="s">
        <v>520</v>
      </c>
      <c r="B113" t="str">
        <f t="shared" si="9"/>
        <v xml:space="preserve"> ma_ro_2005_05_30_806</v>
      </c>
      <c r="C113" s="1">
        <f t="shared" si="8"/>
        <v>45762</v>
      </c>
      <c r="D113" t="s">
        <v>78</v>
      </c>
      <c r="E113">
        <v>175.46799999999999</v>
      </c>
      <c r="F113">
        <v>175.59700000000001</v>
      </c>
      <c r="G113">
        <v>2.3199999999999998</v>
      </c>
      <c r="H113">
        <v>169.61500000000001</v>
      </c>
      <c r="I113">
        <v>0.99428571428571433</v>
      </c>
      <c r="J113">
        <v>185.517</v>
      </c>
      <c r="K113">
        <v>5.7142857142857143E-3</v>
      </c>
      <c r="L113">
        <v>0.54300000000000004</v>
      </c>
      <c r="M113">
        <v>-29.103000000000002</v>
      </c>
      <c r="N113">
        <v>421.84</v>
      </c>
      <c r="O113">
        <v>419.202</v>
      </c>
      <c r="P113">
        <v>34.545999999999999</v>
      </c>
      <c r="Q113">
        <v>377.28100000000001</v>
      </c>
      <c r="R113">
        <v>544.96199999999999</v>
      </c>
      <c r="S113">
        <v>1403.3130000000001</v>
      </c>
      <c r="T113">
        <v>1425.2850000000001</v>
      </c>
      <c r="U113">
        <v>68.825999999999993</v>
      </c>
      <c r="V113">
        <v>1215.684</v>
      </c>
      <c r="W113">
        <v>1551.046</v>
      </c>
      <c r="X113">
        <v>2505.6689999999999</v>
      </c>
      <c r="Y113">
        <v>2431.3690000000001</v>
      </c>
      <c r="Z113">
        <v>286.31599999999997</v>
      </c>
      <c r="AA113">
        <v>2096.0079999999998</v>
      </c>
      <c r="AB113">
        <v>3563.2130000000002</v>
      </c>
      <c r="AC113">
        <v>3.5</v>
      </c>
      <c r="AD113">
        <v>172.477</v>
      </c>
      <c r="AE113">
        <v>172.26599999999999</v>
      </c>
      <c r="AF113">
        <v>2.97</v>
      </c>
      <c r="AG113">
        <v>167.68100000000001</v>
      </c>
      <c r="AH113">
        <v>3.8607594936708858E-2</v>
      </c>
      <c r="AI113">
        <v>197.75800000000001</v>
      </c>
      <c r="AJ113">
        <v>0</v>
      </c>
      <c r="AK113">
        <v>0.46600000000000003</v>
      </c>
      <c r="AL113">
        <v>-28.157</v>
      </c>
      <c r="AM113">
        <v>329.10399999999998</v>
      </c>
      <c r="AN113">
        <v>329.10399999999998</v>
      </c>
      <c r="AO113">
        <v>0</v>
      </c>
      <c r="AP113">
        <v>329.10399999999998</v>
      </c>
      <c r="AQ113">
        <v>329.10399999999998</v>
      </c>
      <c r="AR113">
        <v>1490.874</v>
      </c>
      <c r="AS113">
        <v>1480.97</v>
      </c>
      <c r="AT113">
        <v>84.924999999999997</v>
      </c>
      <c r="AU113">
        <v>1357.556</v>
      </c>
      <c r="AV113">
        <v>1686.66</v>
      </c>
      <c r="AW113">
        <v>3888.3440000000001</v>
      </c>
      <c r="AX113">
        <v>3908.116</v>
      </c>
      <c r="AY113">
        <v>110.78</v>
      </c>
      <c r="AZ113">
        <v>3496.7350000000001</v>
      </c>
      <c r="BA113">
        <v>4113.8059999999996</v>
      </c>
      <c r="BB113">
        <v>3.16</v>
      </c>
      <c r="BC113">
        <v>174.661</v>
      </c>
      <c r="BD113">
        <v>170.505</v>
      </c>
      <c r="BE113">
        <v>22.254999999999999</v>
      </c>
      <c r="BF113">
        <v>167.95400000000001</v>
      </c>
      <c r="BG113">
        <v>0.27151515151515154</v>
      </c>
      <c r="BH113">
        <v>350</v>
      </c>
      <c r="BI113">
        <v>0</v>
      </c>
      <c r="BJ113">
        <v>0.77700000000000002</v>
      </c>
      <c r="BK113">
        <v>-29.565000000000001</v>
      </c>
      <c r="BL113">
        <v>336.245</v>
      </c>
      <c r="BM113">
        <v>332.83</v>
      </c>
      <c r="BN113">
        <v>15.347</v>
      </c>
      <c r="BO113">
        <v>332.83</v>
      </c>
      <c r="BP113">
        <v>457.642</v>
      </c>
      <c r="BQ113">
        <v>1053.6959999999999</v>
      </c>
      <c r="BR113">
        <v>1040.0940000000001</v>
      </c>
      <c r="BS113">
        <v>87.081999999999994</v>
      </c>
      <c r="BT113">
        <v>998.49099999999999</v>
      </c>
      <c r="BU113">
        <v>1456.1320000000001</v>
      </c>
      <c r="BV113">
        <v>3086.9389999999999</v>
      </c>
      <c r="BW113">
        <v>3078.6790000000001</v>
      </c>
      <c r="BX113">
        <v>218.26400000000001</v>
      </c>
      <c r="BY113">
        <v>2537.83</v>
      </c>
      <c r="BZ113">
        <v>3827.547</v>
      </c>
      <c r="CA113">
        <v>3.3</v>
      </c>
    </row>
    <row r="114" spans="1:84" x14ac:dyDescent="0.35">
      <c r="A114" t="s">
        <v>521</v>
      </c>
      <c r="B114" t="str">
        <f t="shared" si="9"/>
        <v xml:space="preserve"> ma_ro_2005_07_29_713</v>
      </c>
      <c r="C114" s="1">
        <f t="shared" si="8"/>
        <v>45762</v>
      </c>
      <c r="D114" t="s">
        <v>78</v>
      </c>
      <c r="E114">
        <v>151.392</v>
      </c>
      <c r="F114">
        <v>150.292</v>
      </c>
      <c r="G114">
        <v>5.2009999999999996</v>
      </c>
      <c r="H114">
        <v>138.245</v>
      </c>
      <c r="I114">
        <v>1</v>
      </c>
      <c r="J114">
        <v>176.905</v>
      </c>
      <c r="K114">
        <v>6.3694267515923561E-3</v>
      </c>
      <c r="L114">
        <v>0.44900000000000001</v>
      </c>
      <c r="M114">
        <v>-19.030999999999999</v>
      </c>
      <c r="N114">
        <v>820.93600000000004</v>
      </c>
      <c r="O114">
        <v>833.44299999999998</v>
      </c>
      <c r="P114">
        <v>75.759</v>
      </c>
      <c r="Q114">
        <v>616.02300000000002</v>
      </c>
      <c r="R114">
        <v>942.15300000000002</v>
      </c>
      <c r="S114">
        <v>1151.2349999999999</v>
      </c>
      <c r="T114">
        <v>1159.5730000000001</v>
      </c>
      <c r="U114">
        <v>32.124000000000002</v>
      </c>
      <c r="V114">
        <v>1050.8630000000001</v>
      </c>
      <c r="W114">
        <v>1268.2829999999999</v>
      </c>
      <c r="X114">
        <v>2094.35</v>
      </c>
      <c r="Y114">
        <v>2065.489</v>
      </c>
      <c r="Z114">
        <v>66.069000000000003</v>
      </c>
      <c r="AA114">
        <v>1993.0160000000001</v>
      </c>
      <c r="AB114">
        <v>2282.9090000000001</v>
      </c>
      <c r="AC114">
        <v>3.14</v>
      </c>
      <c r="AD114">
        <v>160.946</v>
      </c>
      <c r="AE114">
        <v>158.065</v>
      </c>
      <c r="AF114">
        <v>8.8420000000000005</v>
      </c>
      <c r="AG114">
        <v>145.066</v>
      </c>
      <c r="AH114">
        <v>0.98757961783439485</v>
      </c>
      <c r="AI114">
        <v>204.167</v>
      </c>
      <c r="AJ114">
        <v>0</v>
      </c>
      <c r="AK114">
        <v>0.63500000000000001</v>
      </c>
      <c r="AL114">
        <v>-26.475000000000001</v>
      </c>
      <c r="AM114">
        <v>341.49400000000003</v>
      </c>
      <c r="AN114">
        <v>345.43099999999998</v>
      </c>
      <c r="AO114">
        <v>19.114000000000001</v>
      </c>
      <c r="AP114">
        <v>307.05</v>
      </c>
      <c r="AQ114">
        <v>383.81200000000001</v>
      </c>
      <c r="AR114">
        <v>1656.452</v>
      </c>
      <c r="AS114">
        <v>1650.3920000000001</v>
      </c>
      <c r="AT114">
        <v>215.26599999999999</v>
      </c>
      <c r="AU114">
        <v>1304.961</v>
      </c>
      <c r="AV114">
        <v>2187.7280000000001</v>
      </c>
      <c r="AW114">
        <v>3646.5369999999998</v>
      </c>
      <c r="AX114">
        <v>3646.2139999999999</v>
      </c>
      <c r="AY114">
        <v>224.495</v>
      </c>
      <c r="AZ114">
        <v>3108.877</v>
      </c>
      <c r="BA114">
        <v>4106.7889999999998</v>
      </c>
      <c r="BB114">
        <v>3.14</v>
      </c>
      <c r="BC114">
        <v>171.00700000000001</v>
      </c>
      <c r="BD114">
        <v>166.32499999999999</v>
      </c>
      <c r="BE114">
        <v>11.536</v>
      </c>
      <c r="BF114">
        <v>146.02600000000001</v>
      </c>
      <c r="BG114">
        <v>0.99715909090909083</v>
      </c>
      <c r="BH114">
        <v>209.14599999999999</v>
      </c>
      <c r="BI114">
        <v>3.3522727272727273E-2</v>
      </c>
      <c r="BJ114">
        <v>0.67900000000000005</v>
      </c>
      <c r="BK114">
        <v>-28.917999999999999</v>
      </c>
      <c r="BL114">
        <v>379.471</v>
      </c>
      <c r="BM114">
        <v>368.86599999999999</v>
      </c>
      <c r="BN114">
        <v>19.280999999999999</v>
      </c>
      <c r="BO114">
        <v>327.88099999999997</v>
      </c>
      <c r="BP114">
        <v>409.851</v>
      </c>
      <c r="BQ114">
        <v>1101.6310000000001</v>
      </c>
      <c r="BR114">
        <v>1065.6130000000001</v>
      </c>
      <c r="BS114">
        <v>68.549000000000007</v>
      </c>
      <c r="BT114">
        <v>1065.6130000000001</v>
      </c>
      <c r="BU114">
        <v>1434.48</v>
      </c>
      <c r="BV114">
        <v>2212.6239999999998</v>
      </c>
      <c r="BW114">
        <v>2172.212</v>
      </c>
      <c r="BX114">
        <v>188.25700000000001</v>
      </c>
      <c r="BY114">
        <v>1967.2860000000001</v>
      </c>
      <c r="BZ114">
        <v>2868.9589999999998</v>
      </c>
      <c r="CA114">
        <v>3.52</v>
      </c>
    </row>
    <row r="115" spans="1:84" x14ac:dyDescent="0.35">
      <c r="A115" t="s">
        <v>522</v>
      </c>
      <c r="B115" t="str">
        <f t="shared" si="9"/>
        <v xml:space="preserve"> ma_sa_2005_01_31_124</v>
      </c>
      <c r="C115" s="1">
        <f t="shared" si="8"/>
        <v>45762</v>
      </c>
      <c r="D115" t="s">
        <v>78</v>
      </c>
      <c r="E115">
        <v>194.101</v>
      </c>
      <c r="F115">
        <v>205.11600000000001</v>
      </c>
      <c r="G115">
        <v>31.96</v>
      </c>
      <c r="H115">
        <v>100.751</v>
      </c>
      <c r="I115">
        <v>0.43375796178343951</v>
      </c>
      <c r="J115">
        <v>214.524</v>
      </c>
      <c r="K115">
        <v>0.73566878980891715</v>
      </c>
      <c r="L115">
        <v>7.8360000000000003</v>
      </c>
      <c r="M115">
        <v>-21.684000000000001</v>
      </c>
      <c r="N115">
        <v>706.21900000000005</v>
      </c>
      <c r="O115">
        <v>740.07899999999995</v>
      </c>
      <c r="P115">
        <v>79.006</v>
      </c>
      <c r="Q115">
        <v>522.40899999999999</v>
      </c>
      <c r="R115">
        <v>1001.283</v>
      </c>
      <c r="S115">
        <v>1235.4000000000001</v>
      </c>
      <c r="T115">
        <v>1218.954</v>
      </c>
      <c r="U115">
        <v>67.875</v>
      </c>
      <c r="V115">
        <v>1088.3510000000001</v>
      </c>
      <c r="W115">
        <v>1567.2260000000001</v>
      </c>
      <c r="X115">
        <v>2848.74</v>
      </c>
      <c r="Y115">
        <v>2829.7139999999999</v>
      </c>
      <c r="Z115">
        <v>212.715</v>
      </c>
      <c r="AA115">
        <v>2481.4409999999998</v>
      </c>
      <c r="AB115">
        <v>3918.0650000000001</v>
      </c>
      <c r="AC115">
        <v>3.14</v>
      </c>
      <c r="AD115">
        <v>213.01599999999999</v>
      </c>
      <c r="AE115">
        <v>213.78100000000001</v>
      </c>
      <c r="AF115">
        <v>13.689</v>
      </c>
      <c r="AG115">
        <v>115.922</v>
      </c>
      <c r="AH115">
        <v>0.98362068965517246</v>
      </c>
      <c r="AI115">
        <v>254.07400000000001</v>
      </c>
      <c r="AJ115">
        <v>8.1896551724137939E-3</v>
      </c>
      <c r="AK115">
        <v>1.302</v>
      </c>
      <c r="AL115">
        <v>-30.297999999999998</v>
      </c>
      <c r="AM115">
        <v>401.56</v>
      </c>
      <c r="AN115">
        <v>417.02100000000002</v>
      </c>
      <c r="AO115">
        <v>23.911999999999999</v>
      </c>
      <c r="AP115">
        <v>364.89400000000001</v>
      </c>
      <c r="AQ115">
        <v>417.02100000000002</v>
      </c>
      <c r="AR115">
        <v>2501.0529999999999</v>
      </c>
      <c r="AS115">
        <v>2502.1280000000002</v>
      </c>
      <c r="AT115">
        <v>72.159000000000006</v>
      </c>
      <c r="AU115">
        <v>1928.723</v>
      </c>
      <c r="AV115">
        <v>2606.3829999999998</v>
      </c>
      <c r="AW115">
        <v>3485.5439999999999</v>
      </c>
      <c r="AX115">
        <v>3492.5529999999999</v>
      </c>
      <c r="AY115">
        <v>113.746</v>
      </c>
      <c r="AZ115">
        <v>2762.7660000000001</v>
      </c>
      <c r="BA115">
        <v>3701.0639999999999</v>
      </c>
      <c r="BB115">
        <v>2.3199999999999998</v>
      </c>
      <c r="BC115">
        <v>210.25399999999999</v>
      </c>
      <c r="BD115">
        <v>212.75</v>
      </c>
      <c r="BE115">
        <v>18.606999999999999</v>
      </c>
      <c r="BF115">
        <v>97.628</v>
      </c>
      <c r="BG115">
        <v>1.7699115044247791E-2</v>
      </c>
      <c r="BH115">
        <v>220.34299999999999</v>
      </c>
      <c r="BI115">
        <v>0.10752212389380532</v>
      </c>
      <c r="BJ115">
        <v>4.101</v>
      </c>
      <c r="BK115">
        <v>-29.111000000000001</v>
      </c>
      <c r="BL115">
        <v>397.73099999999999</v>
      </c>
      <c r="BM115">
        <v>399.54700000000003</v>
      </c>
      <c r="BN115">
        <v>9392</v>
      </c>
      <c r="BO115">
        <v>349.60399999999998</v>
      </c>
      <c r="BP115">
        <v>399.54700000000003</v>
      </c>
      <c r="BQ115">
        <v>1074.7809999999999</v>
      </c>
      <c r="BR115">
        <v>1048.8109999999999</v>
      </c>
      <c r="BS115">
        <v>90.078000000000003</v>
      </c>
      <c r="BT115">
        <v>998.86699999999996</v>
      </c>
      <c r="BU115">
        <v>1498.3009999999999</v>
      </c>
      <c r="BV115">
        <v>3578.375</v>
      </c>
      <c r="BW115">
        <v>3595.9229999999998</v>
      </c>
      <c r="BX115">
        <v>120.59</v>
      </c>
      <c r="BY115">
        <v>3096.489</v>
      </c>
      <c r="BZ115">
        <v>3845.64</v>
      </c>
      <c r="CA115">
        <v>2.2599999999999998</v>
      </c>
      <c r="CB115">
        <v>2</v>
      </c>
      <c r="CC115">
        <v>1</v>
      </c>
      <c r="CD115">
        <v>0</v>
      </c>
      <c r="CE115">
        <v>2</v>
      </c>
      <c r="CF115">
        <v>0</v>
      </c>
    </row>
    <row r="116" spans="1:84" x14ac:dyDescent="0.35">
      <c r="A116" t="s">
        <v>523</v>
      </c>
      <c r="B116" t="str">
        <f t="shared" si="9"/>
        <v xml:space="preserve"> ma_si_2003_10_31_940</v>
      </c>
      <c r="C116" s="1">
        <f t="shared" si="8"/>
        <v>45762</v>
      </c>
      <c r="D116" t="s">
        <v>78</v>
      </c>
      <c r="E116">
        <v>163.92599999999999</v>
      </c>
      <c r="F116">
        <v>164.02799999999999</v>
      </c>
      <c r="G116">
        <v>3.9860000000000002</v>
      </c>
      <c r="H116">
        <v>151.17500000000001</v>
      </c>
      <c r="I116">
        <v>0.49152542372881353</v>
      </c>
      <c r="J116">
        <v>186.07599999999999</v>
      </c>
      <c r="K116">
        <v>0.29491525423728815</v>
      </c>
      <c r="L116">
        <v>1.1879999999999999</v>
      </c>
      <c r="M116">
        <v>-19.812000000000001</v>
      </c>
      <c r="N116">
        <v>657.35400000000004</v>
      </c>
      <c r="O116">
        <v>627.20000000000005</v>
      </c>
      <c r="P116">
        <v>88.251000000000005</v>
      </c>
      <c r="Q116">
        <v>431.2</v>
      </c>
      <c r="R116">
        <v>901.6</v>
      </c>
      <c r="S116">
        <v>1080.9290000000001</v>
      </c>
      <c r="T116">
        <v>1058.4000000000001</v>
      </c>
      <c r="U116">
        <v>43.369</v>
      </c>
      <c r="V116">
        <v>1019.2</v>
      </c>
      <c r="W116">
        <v>1293.5999999999999</v>
      </c>
      <c r="X116">
        <v>3349.6619999999998</v>
      </c>
      <c r="Y116">
        <v>3371.2</v>
      </c>
      <c r="Z116">
        <v>172.58500000000001</v>
      </c>
      <c r="AA116">
        <v>2979.2</v>
      </c>
      <c r="AB116">
        <v>3645.6</v>
      </c>
      <c r="AC116">
        <v>2.36</v>
      </c>
      <c r="AD116">
        <v>149.905</v>
      </c>
      <c r="AE116">
        <v>147.703</v>
      </c>
      <c r="AF116">
        <v>12.282999999999999</v>
      </c>
      <c r="AG116">
        <v>144.726</v>
      </c>
      <c r="AH116">
        <v>0.20894736842105266</v>
      </c>
      <c r="AI116">
        <v>233.333</v>
      </c>
      <c r="AJ116">
        <v>1.4736842105263159E-2</v>
      </c>
      <c r="AK116">
        <v>1.204</v>
      </c>
      <c r="AL116">
        <v>-23.969000000000001</v>
      </c>
      <c r="AM116">
        <v>357.404</v>
      </c>
      <c r="AN116">
        <v>357.95499999999998</v>
      </c>
      <c r="AO116">
        <v>7.73</v>
      </c>
      <c r="AP116">
        <v>322.15899999999999</v>
      </c>
      <c r="AQ116">
        <v>393.75</v>
      </c>
      <c r="AR116">
        <v>1825.568</v>
      </c>
      <c r="AS116">
        <v>1789.7729999999999</v>
      </c>
      <c r="AT116">
        <v>412.81299999999999</v>
      </c>
      <c r="AU116">
        <v>1431.818</v>
      </c>
      <c r="AV116">
        <v>2255.114</v>
      </c>
      <c r="AW116">
        <v>3414.4589999999998</v>
      </c>
      <c r="AX116">
        <v>3436.364</v>
      </c>
      <c r="AY116">
        <v>182.517</v>
      </c>
      <c r="AZ116">
        <v>2792.0450000000001</v>
      </c>
      <c r="BA116">
        <v>3722.7269999999999</v>
      </c>
      <c r="BB116">
        <v>1.9</v>
      </c>
      <c r="BC116">
        <v>145.26499999999999</v>
      </c>
      <c r="BD116">
        <v>144.32</v>
      </c>
      <c r="BE116">
        <v>4.88</v>
      </c>
      <c r="BF116">
        <v>141.28100000000001</v>
      </c>
      <c r="BG116">
        <v>0.9753164556962024</v>
      </c>
      <c r="BH116">
        <v>177.41399999999999</v>
      </c>
      <c r="BI116">
        <v>0</v>
      </c>
      <c r="BJ116">
        <v>0.77400000000000002</v>
      </c>
      <c r="BK116">
        <v>-24.460999999999999</v>
      </c>
      <c r="BL116">
        <v>359.15499999999997</v>
      </c>
      <c r="BM116">
        <v>350.55599999999998</v>
      </c>
      <c r="BN116">
        <v>20.516999999999999</v>
      </c>
      <c r="BO116">
        <v>315.50099999999998</v>
      </c>
      <c r="BP116">
        <v>420.66800000000001</v>
      </c>
      <c r="BQ116">
        <v>1252.915</v>
      </c>
      <c r="BR116">
        <v>1262.0029999999999</v>
      </c>
      <c r="BS116">
        <v>49.186</v>
      </c>
      <c r="BT116">
        <v>1156.836</v>
      </c>
      <c r="BU116">
        <v>1367.17</v>
      </c>
      <c r="BV116">
        <v>2692.7930000000001</v>
      </c>
      <c r="BW116">
        <v>2664.2289999999998</v>
      </c>
      <c r="BX116">
        <v>184.62899999999999</v>
      </c>
      <c r="BY116">
        <v>2453.895</v>
      </c>
      <c r="BZ116">
        <v>3540.62</v>
      </c>
      <c r="CA116">
        <v>1.58</v>
      </c>
    </row>
    <row r="117" spans="1:84" x14ac:dyDescent="0.35">
      <c r="A117" t="s">
        <v>524</v>
      </c>
      <c r="B117" t="str">
        <f t="shared" si="9"/>
        <v xml:space="preserve"> ma_ta_2006_01_28_997</v>
      </c>
      <c r="C117" s="1">
        <f t="shared" si="8"/>
        <v>45762</v>
      </c>
      <c r="D117" t="s">
        <v>78</v>
      </c>
      <c r="E117">
        <v>145.81700000000001</v>
      </c>
      <c r="F117">
        <v>145.71700000000001</v>
      </c>
      <c r="G117">
        <v>1.4510000000000001</v>
      </c>
      <c r="H117">
        <v>140.76599999999999</v>
      </c>
      <c r="I117">
        <v>6.4935064935064931E-3</v>
      </c>
      <c r="J117">
        <v>151.249</v>
      </c>
      <c r="K117">
        <v>0.99350649350649345</v>
      </c>
      <c r="L117">
        <v>0.65600000000000003</v>
      </c>
      <c r="M117">
        <v>-19.614000000000001</v>
      </c>
      <c r="N117">
        <v>718.28200000000004</v>
      </c>
      <c r="O117">
        <v>697.23299999999995</v>
      </c>
      <c r="P117">
        <v>40.734999999999999</v>
      </c>
      <c r="Q117">
        <v>627.51</v>
      </c>
      <c r="R117">
        <v>871.54200000000003</v>
      </c>
      <c r="S117">
        <v>1040.712</v>
      </c>
      <c r="T117">
        <v>1045.8499999999999</v>
      </c>
      <c r="U117">
        <v>41.613</v>
      </c>
      <c r="V117">
        <v>976.12599999999998</v>
      </c>
      <c r="W117">
        <v>1150.4349999999999</v>
      </c>
      <c r="X117">
        <v>2503.7910000000002</v>
      </c>
      <c r="Y117">
        <v>2510.04</v>
      </c>
      <c r="Z117">
        <v>91.894999999999996</v>
      </c>
      <c r="AA117">
        <v>2266.0079999999998</v>
      </c>
      <c r="AB117">
        <v>2823.7939999999999</v>
      </c>
      <c r="AC117">
        <v>3.08</v>
      </c>
      <c r="AD117">
        <v>159.23699999999999</v>
      </c>
      <c r="AE117">
        <v>158.715</v>
      </c>
      <c r="AF117">
        <v>2.16</v>
      </c>
      <c r="AG117">
        <v>154.73699999999999</v>
      </c>
      <c r="AH117">
        <v>0.10354609929078014</v>
      </c>
      <c r="AI117">
        <v>166.05699999999999</v>
      </c>
      <c r="AJ117">
        <v>4.7163120567375892E-2</v>
      </c>
      <c r="AK117">
        <v>0.58699999999999997</v>
      </c>
      <c r="AL117">
        <v>-28.338000000000001</v>
      </c>
      <c r="AM117">
        <v>341.86</v>
      </c>
      <c r="AN117">
        <v>341.86</v>
      </c>
      <c r="AO117">
        <v>0</v>
      </c>
      <c r="AP117">
        <v>341.86</v>
      </c>
      <c r="AQ117">
        <v>341.86</v>
      </c>
      <c r="AR117">
        <v>2071.5120000000002</v>
      </c>
      <c r="AS117">
        <v>2127.1320000000001</v>
      </c>
      <c r="AT117">
        <v>273.33100000000002</v>
      </c>
      <c r="AU117">
        <v>1481.395</v>
      </c>
      <c r="AV117">
        <v>2620.9299999999998</v>
      </c>
      <c r="AW117">
        <v>3217.2150000000001</v>
      </c>
      <c r="AX117">
        <v>3228.6819999999998</v>
      </c>
      <c r="AY117">
        <v>203.25</v>
      </c>
      <c r="AZ117">
        <v>2734.884</v>
      </c>
      <c r="BA117">
        <v>3722.4810000000002</v>
      </c>
      <c r="BB117">
        <v>2.82</v>
      </c>
      <c r="BC117">
        <v>167.52600000000001</v>
      </c>
      <c r="BD117">
        <v>167.68100000000001</v>
      </c>
      <c r="BE117">
        <v>2.4980000000000002</v>
      </c>
      <c r="BF117">
        <v>160.78100000000001</v>
      </c>
      <c r="BG117">
        <v>6.1349693251533744E-3</v>
      </c>
      <c r="BH117">
        <v>178.54300000000001</v>
      </c>
      <c r="BI117">
        <v>0.99386503067484677</v>
      </c>
      <c r="BJ117">
        <v>0.498</v>
      </c>
      <c r="BK117">
        <v>-29.146000000000001</v>
      </c>
      <c r="BL117">
        <v>361.42200000000003</v>
      </c>
      <c r="BM117">
        <v>360.49</v>
      </c>
      <c r="BN117">
        <v>6.06</v>
      </c>
      <c r="BO117">
        <v>360.49</v>
      </c>
      <c r="BP117">
        <v>400.54500000000002</v>
      </c>
      <c r="BQ117">
        <v>931.74400000000003</v>
      </c>
      <c r="BR117">
        <v>921.25300000000004</v>
      </c>
      <c r="BS117">
        <v>45.316000000000003</v>
      </c>
      <c r="BT117">
        <v>921.25300000000004</v>
      </c>
      <c r="BU117">
        <v>1321.798</v>
      </c>
      <c r="BV117">
        <v>3307.7559999999999</v>
      </c>
      <c r="BW117">
        <v>3364.578</v>
      </c>
      <c r="BX117">
        <v>150.26300000000001</v>
      </c>
      <c r="BY117">
        <v>2923.9780000000001</v>
      </c>
      <c r="BZ117">
        <v>3564.85</v>
      </c>
      <c r="CA117">
        <v>3.26</v>
      </c>
      <c r="CB117">
        <v>4</v>
      </c>
      <c r="CC117">
        <v>4</v>
      </c>
      <c r="CD117">
        <v>1</v>
      </c>
      <c r="CE117">
        <v>4</v>
      </c>
      <c r="CF117">
        <v>1</v>
      </c>
    </row>
    <row r="118" spans="1:84" x14ac:dyDescent="0.35">
      <c r="A118" t="s">
        <v>525</v>
      </c>
      <c r="B118" t="str">
        <f t="shared" si="9"/>
        <v xml:space="preserve"> ma_ti_2006_01_05_815</v>
      </c>
      <c r="C118" s="1">
        <f t="shared" si="8"/>
        <v>45762</v>
      </c>
      <c r="D118" t="s">
        <v>78</v>
      </c>
      <c r="E118">
        <v>205.47800000000001</v>
      </c>
      <c r="F118">
        <v>204.57300000000001</v>
      </c>
      <c r="G118">
        <v>6.1870000000000003</v>
      </c>
      <c r="H118">
        <v>195.751</v>
      </c>
      <c r="I118">
        <v>0.98919413919413912</v>
      </c>
      <c r="J118">
        <v>281.404</v>
      </c>
      <c r="K118">
        <v>3.663003663003663E-3</v>
      </c>
      <c r="L118">
        <v>0.59799999999999998</v>
      </c>
      <c r="M118">
        <v>-29.696000000000002</v>
      </c>
      <c r="N118">
        <v>439.79300000000001</v>
      </c>
      <c r="O118">
        <v>446.45699999999999</v>
      </c>
      <c r="P118">
        <v>55.079000000000001</v>
      </c>
      <c r="Q118">
        <v>347.24400000000003</v>
      </c>
      <c r="R118">
        <v>644.88199999999995</v>
      </c>
      <c r="S118">
        <v>1288.104</v>
      </c>
      <c r="T118">
        <v>1289.7639999999999</v>
      </c>
      <c r="U118">
        <v>68.075000000000003</v>
      </c>
      <c r="V118">
        <v>1140.9449999999999</v>
      </c>
      <c r="W118">
        <v>1537.7950000000001</v>
      </c>
      <c r="X118">
        <v>3286.74</v>
      </c>
      <c r="Y118">
        <v>3323.6219999999998</v>
      </c>
      <c r="Z118">
        <v>282.26799999999997</v>
      </c>
      <c r="AA118">
        <v>2381.1019999999999</v>
      </c>
      <c r="AB118">
        <v>3918.8980000000001</v>
      </c>
      <c r="AC118">
        <v>5.46</v>
      </c>
      <c r="AD118">
        <v>202.03899999999999</v>
      </c>
      <c r="AE118">
        <v>200.846</v>
      </c>
      <c r="AF118">
        <v>4.1349999999999998</v>
      </c>
      <c r="AG118">
        <v>194.029</v>
      </c>
      <c r="AH118">
        <v>0.99117647058823533</v>
      </c>
      <c r="AI118">
        <v>226.65199999999999</v>
      </c>
      <c r="AJ118">
        <v>4.4117647058823537E-3</v>
      </c>
      <c r="AK118">
        <v>0.57899999999999996</v>
      </c>
      <c r="AL118">
        <v>-30.5</v>
      </c>
      <c r="AM118">
        <v>341.10500000000002</v>
      </c>
      <c r="AN118">
        <v>341.10500000000002</v>
      </c>
      <c r="AO118">
        <v>0</v>
      </c>
      <c r="AP118">
        <v>341.10500000000002</v>
      </c>
      <c r="AQ118">
        <v>341.10500000000002</v>
      </c>
      <c r="AR118">
        <v>1446.2149999999999</v>
      </c>
      <c r="AS118">
        <v>1413.1489999999999</v>
      </c>
      <c r="AT118">
        <v>68.981999999999999</v>
      </c>
      <c r="AU118">
        <v>1266.961</v>
      </c>
      <c r="AV118">
        <v>1559.337</v>
      </c>
      <c r="AW118">
        <v>3807.212</v>
      </c>
      <c r="AX118">
        <v>3800.884</v>
      </c>
      <c r="AY118">
        <v>169.173</v>
      </c>
      <c r="AZ118">
        <v>3264.8620000000001</v>
      </c>
      <c r="BA118">
        <v>4190.7179999999998</v>
      </c>
      <c r="BB118">
        <v>4.76</v>
      </c>
      <c r="BC118">
        <v>197.04300000000001</v>
      </c>
      <c r="BD118">
        <v>196</v>
      </c>
      <c r="BE118">
        <v>3.5720000000000001</v>
      </c>
      <c r="BF118">
        <v>192.93799999999999</v>
      </c>
      <c r="BG118">
        <v>0.17524999999999999</v>
      </c>
      <c r="BH118">
        <v>225.328</v>
      </c>
      <c r="BI118">
        <v>5.0000000000000001E-3</v>
      </c>
      <c r="BJ118">
        <v>0.60599999999999998</v>
      </c>
      <c r="BK118">
        <v>-29.387</v>
      </c>
      <c r="BL118">
        <v>293.73</v>
      </c>
      <c r="BM118">
        <v>283.601</v>
      </c>
      <c r="BN118">
        <v>23.571000000000002</v>
      </c>
      <c r="BO118">
        <v>283.601</v>
      </c>
      <c r="BP118">
        <v>378.13499999999999</v>
      </c>
      <c r="BQ118">
        <v>1219.662</v>
      </c>
      <c r="BR118">
        <v>1228.9390000000001</v>
      </c>
      <c r="BS118">
        <v>66.983999999999995</v>
      </c>
      <c r="BT118">
        <v>1134.405</v>
      </c>
      <c r="BU118">
        <v>1512.54</v>
      </c>
      <c r="BV118">
        <v>2788.9969999999998</v>
      </c>
      <c r="BW118">
        <v>2788.7460000000001</v>
      </c>
      <c r="BX118">
        <v>155.31200000000001</v>
      </c>
      <c r="BY118">
        <v>2457.8780000000002</v>
      </c>
      <c r="BZ118">
        <v>3214.1480000000001</v>
      </c>
      <c r="CA118">
        <v>4</v>
      </c>
      <c r="CB118">
        <v>5</v>
      </c>
      <c r="CC118">
        <v>8</v>
      </c>
      <c r="CD118">
        <v>0</v>
      </c>
      <c r="CE118">
        <v>6</v>
      </c>
      <c r="CF118">
        <v>6</v>
      </c>
    </row>
    <row r="119" spans="1:84" x14ac:dyDescent="0.35">
      <c r="A119" t="s">
        <v>526</v>
      </c>
      <c r="B119" t="str">
        <f t="shared" si="9"/>
        <v xml:space="preserve"> ma_va_2005_03_05_742</v>
      </c>
      <c r="C119" s="1">
        <f t="shared" si="8"/>
        <v>45762</v>
      </c>
      <c r="D119" t="s">
        <v>78</v>
      </c>
      <c r="E119">
        <v>182.262</v>
      </c>
      <c r="F119">
        <v>180.95</v>
      </c>
      <c r="G119">
        <v>3.3170000000000002</v>
      </c>
      <c r="H119">
        <v>179.37200000000001</v>
      </c>
      <c r="I119">
        <v>0.28076923076923077</v>
      </c>
      <c r="J119">
        <v>192.57599999999999</v>
      </c>
      <c r="K119">
        <v>0.97499999999999987</v>
      </c>
      <c r="L119">
        <v>0.495</v>
      </c>
      <c r="M119">
        <v>-24.65</v>
      </c>
      <c r="N119">
        <v>635.85199999999998</v>
      </c>
      <c r="O119">
        <v>616.78300000000002</v>
      </c>
      <c r="P119">
        <v>54.35</v>
      </c>
      <c r="Q119">
        <v>528.67100000000005</v>
      </c>
      <c r="R119">
        <v>881.11900000000003</v>
      </c>
      <c r="S119">
        <v>1192.6020000000001</v>
      </c>
      <c r="T119">
        <v>1189.51</v>
      </c>
      <c r="U119">
        <v>55.139000000000003</v>
      </c>
      <c r="V119">
        <v>1101.3989999999999</v>
      </c>
      <c r="W119">
        <v>1365.7339999999999</v>
      </c>
      <c r="X119">
        <v>3018.1610000000001</v>
      </c>
      <c r="Y119">
        <v>3039.86</v>
      </c>
      <c r="Z119">
        <v>131.58199999999999</v>
      </c>
      <c r="AA119">
        <v>2599.3009999999999</v>
      </c>
      <c r="AB119">
        <v>3304.1959999999999</v>
      </c>
      <c r="AC119">
        <v>1.56</v>
      </c>
      <c r="AD119">
        <v>190.905</v>
      </c>
      <c r="AE119">
        <v>182.124</v>
      </c>
      <c r="AF119">
        <v>29.968</v>
      </c>
      <c r="AG119">
        <v>178.233</v>
      </c>
      <c r="AH119">
        <v>0.71928571428571431</v>
      </c>
      <c r="AI119">
        <v>312.76600000000002</v>
      </c>
      <c r="AJ119">
        <v>0</v>
      </c>
      <c r="AK119">
        <v>1.198</v>
      </c>
      <c r="AL119">
        <v>-27.34</v>
      </c>
      <c r="AM119">
        <v>369.601</v>
      </c>
      <c r="AN119">
        <v>363.33699999999999</v>
      </c>
      <c r="AO119">
        <v>39.75</v>
      </c>
      <c r="AP119">
        <v>317.92</v>
      </c>
      <c r="AQ119">
        <v>499.58800000000002</v>
      </c>
      <c r="AR119">
        <v>2242.4690000000001</v>
      </c>
      <c r="AS119">
        <v>2361.6889999999999</v>
      </c>
      <c r="AT119">
        <v>360.02699999999999</v>
      </c>
      <c r="AU119">
        <v>1544.181</v>
      </c>
      <c r="AV119">
        <v>2588.7739999999999</v>
      </c>
      <c r="AW119">
        <v>3325.703</v>
      </c>
      <c r="AX119">
        <v>3315.4479999999999</v>
      </c>
      <c r="AY119">
        <v>169.42099999999999</v>
      </c>
      <c r="AZ119">
        <v>2770.4430000000002</v>
      </c>
      <c r="BA119">
        <v>3678.7849999999999</v>
      </c>
      <c r="BB119">
        <v>1.4</v>
      </c>
      <c r="BC119">
        <v>188.19200000000001</v>
      </c>
      <c r="BD119">
        <v>186.41300000000001</v>
      </c>
      <c r="BE119">
        <v>5.8769999999999998</v>
      </c>
      <c r="BF119">
        <v>175.697</v>
      </c>
      <c r="BG119">
        <v>0.97535211267605637</v>
      </c>
      <c r="BH119">
        <v>209.715</v>
      </c>
      <c r="BI119">
        <v>1.5492957746478873E-2</v>
      </c>
      <c r="BJ119">
        <v>0.80500000000000005</v>
      </c>
      <c r="BK119">
        <v>-29.228999999999999</v>
      </c>
      <c r="BL119">
        <v>374.363</v>
      </c>
      <c r="BM119">
        <v>364.08699999999999</v>
      </c>
      <c r="BN119">
        <v>25.292000000000002</v>
      </c>
      <c r="BO119">
        <v>318.57600000000002</v>
      </c>
      <c r="BP119">
        <v>455.108</v>
      </c>
      <c r="BQ119">
        <v>970.89800000000002</v>
      </c>
      <c r="BR119">
        <v>955.72799999999995</v>
      </c>
      <c r="BS119">
        <v>93.561999999999998</v>
      </c>
      <c r="BT119">
        <v>910.21699999999998</v>
      </c>
      <c r="BU119">
        <v>1638.39</v>
      </c>
      <c r="BV119">
        <v>3497.11</v>
      </c>
      <c r="BW119">
        <v>3504.3339999999998</v>
      </c>
      <c r="BX119">
        <v>145.81</v>
      </c>
      <c r="BY119">
        <v>3094.7370000000001</v>
      </c>
      <c r="BZ119">
        <v>3822.91</v>
      </c>
      <c r="CA119">
        <v>1.42</v>
      </c>
    </row>
    <row r="120" spans="1:84" x14ac:dyDescent="0.35">
      <c r="A120" t="s">
        <v>527</v>
      </c>
      <c r="B120" t="str">
        <f t="shared" si="9"/>
        <v xml:space="preserve"> ma_za_2004_06_10_668</v>
      </c>
      <c r="C120" s="1">
        <f t="shared" si="8"/>
        <v>45762</v>
      </c>
      <c r="D120" t="s">
        <v>78</v>
      </c>
      <c r="E120">
        <v>184.624</v>
      </c>
      <c r="F120">
        <v>184.07900000000001</v>
      </c>
      <c r="G120">
        <v>3.0009999999999999</v>
      </c>
      <c r="H120">
        <v>179.37200000000001</v>
      </c>
      <c r="I120">
        <v>6.1258278145695365E-2</v>
      </c>
      <c r="J120">
        <v>203.494</v>
      </c>
      <c r="K120">
        <v>0.98807947019867548</v>
      </c>
      <c r="L120">
        <v>0.439</v>
      </c>
      <c r="M120">
        <v>-27.006</v>
      </c>
      <c r="N120">
        <v>501.32600000000002</v>
      </c>
      <c r="O120">
        <v>479.34800000000001</v>
      </c>
      <c r="P120">
        <v>66.156999999999996</v>
      </c>
      <c r="Q120">
        <v>435.77100000000002</v>
      </c>
      <c r="R120">
        <v>784.38699999999994</v>
      </c>
      <c r="S120">
        <v>1346.357</v>
      </c>
      <c r="T120">
        <v>1350.8889999999999</v>
      </c>
      <c r="U120">
        <v>81.492000000000004</v>
      </c>
      <c r="V120">
        <v>1089.4269999999999</v>
      </c>
      <c r="W120">
        <v>1481.6210000000001</v>
      </c>
      <c r="X120">
        <v>3901.489</v>
      </c>
      <c r="Y120">
        <v>3965.5140000000001</v>
      </c>
      <c r="Z120">
        <v>264.88499999999999</v>
      </c>
      <c r="AA120">
        <v>2963.241</v>
      </c>
      <c r="AB120">
        <v>4401.2849999999999</v>
      </c>
      <c r="AC120">
        <v>3.02</v>
      </c>
      <c r="AD120">
        <v>192.28299999999999</v>
      </c>
      <c r="AE120">
        <v>190.55600000000001</v>
      </c>
      <c r="AF120">
        <v>7.3380000000000001</v>
      </c>
      <c r="AG120">
        <v>187.774</v>
      </c>
      <c r="AH120">
        <v>0.57650273224043713</v>
      </c>
      <c r="AI120">
        <v>243.64599999999999</v>
      </c>
      <c r="AJ120">
        <v>0</v>
      </c>
      <c r="AK120">
        <v>0.52400000000000002</v>
      </c>
      <c r="AL120">
        <v>-28.986999999999998</v>
      </c>
      <c r="AM120">
        <v>322.21699999999998</v>
      </c>
      <c r="AN120">
        <v>320.22800000000001</v>
      </c>
      <c r="AO120">
        <v>15.638</v>
      </c>
      <c r="AP120">
        <v>274.48099999999999</v>
      </c>
      <c r="AQ120">
        <v>365.97500000000002</v>
      </c>
      <c r="AR120">
        <v>2283.8249999999998</v>
      </c>
      <c r="AS120">
        <v>2424.585</v>
      </c>
      <c r="AT120">
        <v>303.14100000000002</v>
      </c>
      <c r="AU120">
        <v>1646.8879999999999</v>
      </c>
      <c r="AV120">
        <v>2561.826</v>
      </c>
      <c r="AW120">
        <v>4115.0150000000003</v>
      </c>
      <c r="AX120">
        <v>4117.22</v>
      </c>
      <c r="AY120">
        <v>123.35</v>
      </c>
      <c r="AZ120">
        <v>3568.2570000000001</v>
      </c>
      <c r="BA120">
        <v>4483.1949999999997</v>
      </c>
      <c r="BB120">
        <v>3.66</v>
      </c>
      <c r="BC120">
        <v>198.63200000000001</v>
      </c>
      <c r="BD120">
        <v>197.001</v>
      </c>
      <c r="BE120">
        <v>15.375999999999999</v>
      </c>
      <c r="BF120">
        <v>99.549000000000007</v>
      </c>
      <c r="BG120">
        <v>6.4417177914110439E-3</v>
      </c>
      <c r="BH120">
        <v>341.86</v>
      </c>
      <c r="BI120">
        <v>0</v>
      </c>
      <c r="BJ120">
        <v>2.1480000000000001</v>
      </c>
      <c r="BK120">
        <v>-27.402000000000001</v>
      </c>
      <c r="BL120">
        <v>338.52499999999998</v>
      </c>
      <c r="BM120">
        <v>333.01</v>
      </c>
      <c r="BN120">
        <v>34.164999999999999</v>
      </c>
      <c r="BO120">
        <v>285.43700000000001</v>
      </c>
      <c r="BP120">
        <v>570.87400000000002</v>
      </c>
      <c r="BQ120">
        <v>1070.3879999999999</v>
      </c>
      <c r="BR120">
        <v>1046.6020000000001</v>
      </c>
      <c r="BS120">
        <v>120.185</v>
      </c>
      <c r="BT120">
        <v>999.029</v>
      </c>
      <c r="BU120">
        <v>1474.7570000000001</v>
      </c>
      <c r="BV120">
        <v>4321.0940000000001</v>
      </c>
      <c r="BW120">
        <v>4329.1260000000002</v>
      </c>
      <c r="BX120">
        <v>119.389</v>
      </c>
      <c r="BY120">
        <v>3710.68</v>
      </c>
      <c r="BZ120">
        <v>4519.4170000000004</v>
      </c>
      <c r="CA120">
        <v>3.26</v>
      </c>
      <c r="CB120">
        <v>7</v>
      </c>
      <c r="CC120">
        <v>1</v>
      </c>
      <c r="CD120">
        <v>0</v>
      </c>
      <c r="CE120">
        <v>2</v>
      </c>
      <c r="CF120">
        <v>0</v>
      </c>
    </row>
    <row r="121" spans="1:84" x14ac:dyDescent="0.35">
      <c r="A121" t="s">
        <v>528</v>
      </c>
      <c r="B121" t="str">
        <f t="shared" si="9"/>
        <v xml:space="preserve"> ni_ru_2004_05_20_372</v>
      </c>
      <c r="C121" s="1">
        <f t="shared" si="8"/>
        <v>45762</v>
      </c>
      <c r="D121" t="s">
        <v>78</v>
      </c>
      <c r="E121">
        <v>248.87100000000001</v>
      </c>
      <c r="F121">
        <v>249.15299999999999</v>
      </c>
      <c r="G121">
        <v>4.6790000000000003</v>
      </c>
      <c r="H121">
        <v>233.333</v>
      </c>
      <c r="I121">
        <v>2.4752475247524754E-2</v>
      </c>
      <c r="J121">
        <v>267.27300000000002</v>
      </c>
      <c r="K121">
        <v>0.98465346534653464</v>
      </c>
      <c r="L121">
        <v>0.39400000000000002</v>
      </c>
      <c r="M121">
        <v>-25.216000000000001</v>
      </c>
      <c r="N121">
        <v>750.08199999999999</v>
      </c>
      <c r="O121">
        <v>784.26800000000003</v>
      </c>
      <c r="P121">
        <v>90.105999999999995</v>
      </c>
      <c r="Q121">
        <v>542.95500000000004</v>
      </c>
      <c r="R121">
        <v>1025.5809999999999</v>
      </c>
      <c r="S121">
        <v>1063.789</v>
      </c>
      <c r="T121">
        <v>1025.5809999999999</v>
      </c>
      <c r="U121">
        <v>55.265999999999998</v>
      </c>
      <c r="V121">
        <v>1025.5809999999999</v>
      </c>
      <c r="W121">
        <v>1266.895</v>
      </c>
      <c r="X121">
        <v>2926.4259999999999</v>
      </c>
      <c r="Y121">
        <v>2775.1030000000001</v>
      </c>
      <c r="Z121">
        <v>348.01299999999998</v>
      </c>
      <c r="AA121">
        <v>2473.4609999999998</v>
      </c>
      <c r="AB121">
        <v>3981.6689999999999</v>
      </c>
      <c r="AC121">
        <v>2.02</v>
      </c>
      <c r="AD121">
        <v>248.36500000000001</v>
      </c>
      <c r="AE121">
        <v>250.56800000000001</v>
      </c>
      <c r="AF121">
        <v>7.2290000000000001</v>
      </c>
      <c r="AG121">
        <v>226.48599999999999</v>
      </c>
      <c r="AH121">
        <v>4.4623655913978495E-2</v>
      </c>
      <c r="AI121">
        <v>258.54300000000001</v>
      </c>
      <c r="AJ121">
        <v>0.56451612903225801</v>
      </c>
      <c r="AK121">
        <v>0.51500000000000001</v>
      </c>
      <c r="AL121">
        <v>-34.82</v>
      </c>
      <c r="AM121">
        <v>280.23899999999998</v>
      </c>
      <c r="AN121">
        <v>302.88499999999999</v>
      </c>
      <c r="AO121">
        <v>32.783999999999999</v>
      </c>
      <c r="AP121">
        <v>242.30799999999999</v>
      </c>
      <c r="AQ121">
        <v>424.03800000000001</v>
      </c>
      <c r="AR121">
        <v>1453.846</v>
      </c>
      <c r="AS121">
        <v>1453.846</v>
      </c>
      <c r="AT121">
        <v>0</v>
      </c>
      <c r="AU121">
        <v>1453.846</v>
      </c>
      <c r="AV121">
        <v>1453.846</v>
      </c>
      <c r="AW121">
        <v>3824.5320000000002</v>
      </c>
      <c r="AX121">
        <v>3816.346</v>
      </c>
      <c r="AY121">
        <v>231.24600000000001</v>
      </c>
      <c r="AZ121">
        <v>3331.7310000000002</v>
      </c>
      <c r="BA121">
        <v>4422.1149999999998</v>
      </c>
      <c r="BB121">
        <v>1.86</v>
      </c>
      <c r="BC121">
        <v>257.63200000000001</v>
      </c>
      <c r="BD121">
        <v>261.05799999999999</v>
      </c>
      <c r="BE121">
        <v>9.7940000000000005</v>
      </c>
      <c r="BF121">
        <v>228.667</v>
      </c>
      <c r="BG121">
        <v>2.9213483146067414E-2</v>
      </c>
      <c r="BH121">
        <v>271.26499999999999</v>
      </c>
      <c r="BI121">
        <v>0.32752808988764043</v>
      </c>
      <c r="BJ121">
        <v>0.72</v>
      </c>
      <c r="BK121">
        <v>-31.396999999999998</v>
      </c>
      <c r="BL121">
        <v>392.92500000000001</v>
      </c>
      <c r="BM121">
        <v>376.387</v>
      </c>
      <c r="BN121">
        <v>41.347999999999999</v>
      </c>
      <c r="BO121">
        <v>313.65600000000001</v>
      </c>
      <c r="BP121">
        <v>564.58000000000004</v>
      </c>
      <c r="BQ121">
        <v>1050.7470000000001</v>
      </c>
      <c r="BR121">
        <v>940.96699999999998</v>
      </c>
      <c r="BS121">
        <v>219.559</v>
      </c>
      <c r="BT121">
        <v>940.96699999999998</v>
      </c>
      <c r="BU121">
        <v>1380.085</v>
      </c>
      <c r="BV121">
        <v>3257.4580000000001</v>
      </c>
      <c r="BW121">
        <v>3230.654</v>
      </c>
      <c r="BX121">
        <v>163.607</v>
      </c>
      <c r="BY121">
        <v>2885.6329999999998</v>
      </c>
      <c r="BZ121">
        <v>3638.4070000000002</v>
      </c>
      <c r="CA121">
        <v>1.78</v>
      </c>
      <c r="CB121">
        <v>6</v>
      </c>
      <c r="CC121">
        <v>2</v>
      </c>
      <c r="CD121">
        <v>0</v>
      </c>
      <c r="CE121">
        <v>3</v>
      </c>
      <c r="CF121">
        <v>0</v>
      </c>
    </row>
    <row r="122" spans="1:84" x14ac:dyDescent="0.35">
      <c r="A122" t="s">
        <v>529</v>
      </c>
      <c r="B122" t="str">
        <f t="shared" si="9"/>
        <v xml:space="preserve"> no_bi_2001_04_24_039</v>
      </c>
      <c r="C122" s="1">
        <f t="shared" si="8"/>
        <v>45762</v>
      </c>
      <c r="D122" t="s">
        <v>78</v>
      </c>
      <c r="E122">
        <v>175.68299999999999</v>
      </c>
      <c r="F122">
        <v>175.298</v>
      </c>
      <c r="G122">
        <v>3.1160000000000001</v>
      </c>
      <c r="H122">
        <v>165.523</v>
      </c>
      <c r="I122">
        <v>0.98892857142857149</v>
      </c>
      <c r="J122">
        <v>181.90899999999999</v>
      </c>
      <c r="K122">
        <v>0.33535714285714285</v>
      </c>
      <c r="L122">
        <v>0.65700000000000003</v>
      </c>
      <c r="M122">
        <v>-20.984000000000002</v>
      </c>
      <c r="N122">
        <v>893.92899999999997</v>
      </c>
      <c r="O122">
        <v>879.48699999999997</v>
      </c>
      <c r="P122">
        <v>34.536999999999999</v>
      </c>
      <c r="Q122">
        <v>795.726</v>
      </c>
      <c r="R122">
        <v>963.24800000000005</v>
      </c>
      <c r="S122">
        <v>1067.2139999999999</v>
      </c>
      <c r="T122">
        <v>1047.009</v>
      </c>
      <c r="U122">
        <v>36.207999999999998</v>
      </c>
      <c r="V122">
        <v>1005.128</v>
      </c>
      <c r="W122">
        <v>1130.769</v>
      </c>
      <c r="X122">
        <v>3201.319</v>
      </c>
      <c r="Y122">
        <v>3224.7860000000001</v>
      </c>
      <c r="Z122">
        <v>248.67599999999999</v>
      </c>
      <c r="AA122">
        <v>2429.06</v>
      </c>
      <c r="AB122">
        <v>3643.59</v>
      </c>
      <c r="AC122">
        <v>2.8</v>
      </c>
      <c r="AD122">
        <v>172.268</v>
      </c>
      <c r="AE122">
        <v>171.691</v>
      </c>
      <c r="AF122">
        <v>1.857</v>
      </c>
      <c r="AG122">
        <v>168.22900000000001</v>
      </c>
      <c r="AH122">
        <v>0.98940677966101698</v>
      </c>
      <c r="AI122">
        <v>178.64599999999999</v>
      </c>
      <c r="AJ122">
        <v>0.92669491525423731</v>
      </c>
      <c r="AK122">
        <v>0.502</v>
      </c>
      <c r="AL122">
        <v>-27.030999999999999</v>
      </c>
      <c r="AM122">
        <v>328.18599999999998</v>
      </c>
      <c r="AN122">
        <v>328.18599999999998</v>
      </c>
      <c r="AO122">
        <v>0</v>
      </c>
      <c r="AP122">
        <v>328.18599999999998</v>
      </c>
      <c r="AQ122">
        <v>328.18599999999998</v>
      </c>
      <c r="AR122">
        <v>1355.721</v>
      </c>
      <c r="AS122">
        <v>1353.7670000000001</v>
      </c>
      <c r="AT122">
        <v>64.180000000000007</v>
      </c>
      <c r="AU122">
        <v>1271.721</v>
      </c>
      <c r="AV122">
        <v>1476.837</v>
      </c>
      <c r="AW122">
        <v>4281.375</v>
      </c>
      <c r="AX122">
        <v>4307.442</v>
      </c>
      <c r="AY122">
        <v>56.817999999999998</v>
      </c>
      <c r="AZ122">
        <v>3979.2559999999999</v>
      </c>
      <c r="BA122">
        <v>4348.4650000000001</v>
      </c>
      <c r="BB122">
        <v>2.36</v>
      </c>
      <c r="BC122">
        <v>173.65799999999999</v>
      </c>
      <c r="BD122">
        <v>173.67099999999999</v>
      </c>
      <c r="BE122">
        <v>1.2729999999999999</v>
      </c>
      <c r="BF122">
        <v>169.24299999999999</v>
      </c>
      <c r="BG122">
        <v>0.98392857142857137</v>
      </c>
      <c r="BH122">
        <v>178.95699999999999</v>
      </c>
      <c r="BI122">
        <v>2.1428571428571425E-2</v>
      </c>
      <c r="BJ122">
        <v>0.252</v>
      </c>
      <c r="BK122">
        <v>-29.824000000000002</v>
      </c>
      <c r="BL122">
        <v>359.05700000000002</v>
      </c>
      <c r="BM122">
        <v>375.85199999999998</v>
      </c>
      <c r="BN122">
        <v>20.588999999999999</v>
      </c>
      <c r="BO122">
        <v>334.09100000000001</v>
      </c>
      <c r="BP122">
        <v>375.85199999999998</v>
      </c>
      <c r="BQ122">
        <v>1067.8150000000001</v>
      </c>
      <c r="BR122">
        <v>1044.0340000000001</v>
      </c>
      <c r="BS122">
        <v>31.986999999999998</v>
      </c>
      <c r="BT122">
        <v>1044.0340000000001</v>
      </c>
      <c r="BU122">
        <v>1211.08</v>
      </c>
      <c r="BV122">
        <v>3540.6370000000002</v>
      </c>
      <c r="BW122">
        <v>3528.835</v>
      </c>
      <c r="BX122">
        <v>276.72500000000002</v>
      </c>
      <c r="BY122">
        <v>3006.8180000000002</v>
      </c>
      <c r="BZ122">
        <v>4050.8519999999999</v>
      </c>
      <c r="CA122">
        <v>2.2400000000000002</v>
      </c>
      <c r="CB122">
        <v>5</v>
      </c>
      <c r="CC122">
        <v>4</v>
      </c>
      <c r="CD122">
        <v>6</v>
      </c>
      <c r="CE122">
        <v>5</v>
      </c>
      <c r="CF122">
        <v>6</v>
      </c>
    </row>
    <row r="123" spans="1:84" x14ac:dyDescent="0.35">
      <c r="A123" t="s">
        <v>530</v>
      </c>
      <c r="B123" t="str">
        <f t="shared" si="9"/>
        <v xml:space="preserve"> no_un_2005_06_29_880</v>
      </c>
      <c r="C123" s="1">
        <f t="shared" si="8"/>
        <v>45762</v>
      </c>
      <c r="D123" t="s">
        <v>78</v>
      </c>
      <c r="E123">
        <v>196.49799999999999</v>
      </c>
      <c r="F123">
        <v>196.374</v>
      </c>
      <c r="G123">
        <v>2.3580000000000001</v>
      </c>
      <c r="H123">
        <v>191.14599999999999</v>
      </c>
      <c r="I123">
        <v>0.10549450549450549</v>
      </c>
      <c r="J123">
        <v>202.42599999999999</v>
      </c>
      <c r="K123">
        <v>0.98571428571428565</v>
      </c>
      <c r="L123">
        <v>0.54600000000000004</v>
      </c>
      <c r="M123">
        <v>-29.808</v>
      </c>
      <c r="N123">
        <v>575.10799999999995</v>
      </c>
      <c r="O123">
        <v>568.42100000000005</v>
      </c>
      <c r="P123">
        <v>104.944</v>
      </c>
      <c r="Q123">
        <v>378.947</v>
      </c>
      <c r="R123">
        <v>852.63199999999995</v>
      </c>
      <c r="S123">
        <v>1108.537</v>
      </c>
      <c r="T123">
        <v>1089.4739999999999</v>
      </c>
      <c r="U123">
        <v>66.516000000000005</v>
      </c>
      <c r="V123">
        <v>994.73699999999997</v>
      </c>
      <c r="W123">
        <v>1373.684</v>
      </c>
      <c r="X123">
        <v>2847.1210000000001</v>
      </c>
      <c r="Y123">
        <v>2842.105</v>
      </c>
      <c r="Z123">
        <v>202.95400000000001</v>
      </c>
      <c r="AA123">
        <v>2463.1579999999999</v>
      </c>
      <c r="AB123">
        <v>3505.2629999999999</v>
      </c>
      <c r="AC123">
        <v>1.82</v>
      </c>
      <c r="AD123">
        <v>199.93600000000001</v>
      </c>
      <c r="AE123">
        <v>198.77699999999999</v>
      </c>
      <c r="AF123">
        <v>8.9730000000000008</v>
      </c>
      <c r="AG123">
        <v>191.14599999999999</v>
      </c>
      <c r="AH123">
        <v>6.25E-2</v>
      </c>
      <c r="AI123">
        <v>252</v>
      </c>
      <c r="AJ123">
        <v>0</v>
      </c>
      <c r="AK123">
        <v>1.075</v>
      </c>
      <c r="AL123">
        <v>-31.084</v>
      </c>
      <c r="AM123">
        <v>337.74599999999998</v>
      </c>
      <c r="AN123">
        <v>337.74599999999998</v>
      </c>
      <c r="AO123">
        <v>16.548999999999999</v>
      </c>
      <c r="AP123">
        <v>289.49700000000001</v>
      </c>
      <c r="AQ123">
        <v>385.99599999999998</v>
      </c>
      <c r="AR123">
        <v>2136.761</v>
      </c>
      <c r="AS123">
        <v>2098.8510000000001</v>
      </c>
      <c r="AT123">
        <v>274.529</v>
      </c>
      <c r="AU123">
        <v>1592.232</v>
      </c>
      <c r="AV123">
        <v>2460.7220000000002</v>
      </c>
      <c r="AW123">
        <v>3146.4670000000001</v>
      </c>
      <c r="AX123">
        <v>3112.09</v>
      </c>
      <c r="AY123">
        <v>212.571</v>
      </c>
      <c r="AZ123">
        <v>2412.473</v>
      </c>
      <c r="BA123">
        <v>3715.2080000000001</v>
      </c>
      <c r="BB123">
        <v>1.68</v>
      </c>
      <c r="BC123">
        <v>206.44900000000001</v>
      </c>
      <c r="BD123">
        <v>205.11600000000001</v>
      </c>
      <c r="BE123">
        <v>4.9219999999999997</v>
      </c>
      <c r="BF123">
        <v>203.09200000000001</v>
      </c>
      <c r="BG123">
        <v>0.28823529411764703</v>
      </c>
      <c r="BH123">
        <v>237.46199999999999</v>
      </c>
      <c r="BI123">
        <v>0</v>
      </c>
      <c r="BJ123">
        <v>0.41499999999999998</v>
      </c>
      <c r="BK123">
        <v>-29.562999999999999</v>
      </c>
      <c r="BL123">
        <v>394.63900000000001</v>
      </c>
      <c r="BM123">
        <v>398.19400000000002</v>
      </c>
      <c r="BN123">
        <v>16.376000000000001</v>
      </c>
      <c r="BO123">
        <v>298.64600000000002</v>
      </c>
      <c r="BP123">
        <v>398.19400000000002</v>
      </c>
      <c r="BQ123">
        <v>989.89800000000002</v>
      </c>
      <c r="BR123">
        <v>995.48500000000001</v>
      </c>
      <c r="BS123">
        <v>65.067999999999998</v>
      </c>
      <c r="BT123">
        <v>945.71100000000001</v>
      </c>
      <c r="BU123">
        <v>1393.6790000000001</v>
      </c>
      <c r="BV123">
        <v>3079.5340000000001</v>
      </c>
      <c r="BW123">
        <v>3086.0050000000001</v>
      </c>
      <c r="BX123">
        <v>122.261</v>
      </c>
      <c r="BY123">
        <v>2787.3589999999999</v>
      </c>
      <c r="BZ123">
        <v>3434.424</v>
      </c>
      <c r="CA123">
        <v>2.04</v>
      </c>
    </row>
    <row r="124" spans="1:84" x14ac:dyDescent="0.35">
      <c r="A124" t="s">
        <v>550</v>
      </c>
      <c r="B124" t="str">
        <f t="shared" si="9"/>
        <v xml:space="preserve"> pa_po_2005_02_13_810</v>
      </c>
      <c r="C124" s="1">
        <f t="shared" si="8"/>
        <v>45799</v>
      </c>
      <c r="D124" t="s">
        <v>78</v>
      </c>
      <c r="E124">
        <v>204.215</v>
      </c>
      <c r="F124">
        <v>204.03200000000001</v>
      </c>
      <c r="G124">
        <v>2.2909999999999999</v>
      </c>
      <c r="H124">
        <v>194.273</v>
      </c>
      <c r="I124">
        <v>0.99968354430379736</v>
      </c>
      <c r="J124">
        <v>222.24600000000001</v>
      </c>
      <c r="K124">
        <v>6.3291139240506328E-3</v>
      </c>
      <c r="L124">
        <v>0.39300000000000002</v>
      </c>
      <c r="M124">
        <v>-20.594000000000001</v>
      </c>
      <c r="N124">
        <v>746.49599999999998</v>
      </c>
      <c r="O124">
        <v>740.76099999999997</v>
      </c>
      <c r="P124">
        <v>58.473999999999997</v>
      </c>
      <c r="Q124">
        <v>395.07299999999998</v>
      </c>
      <c r="R124">
        <v>839.53</v>
      </c>
      <c r="S124">
        <v>1047.463</v>
      </c>
      <c r="T124">
        <v>1037.066</v>
      </c>
      <c r="U124">
        <v>28.992999999999999</v>
      </c>
      <c r="V124">
        <v>987.68200000000002</v>
      </c>
      <c r="W124">
        <v>1185.2180000000001</v>
      </c>
      <c r="X124">
        <v>3387.7489999999998</v>
      </c>
      <c r="Y124">
        <v>3407.5030000000002</v>
      </c>
      <c r="Z124">
        <v>224.09800000000001</v>
      </c>
      <c r="AA124">
        <v>2814.8939999999998</v>
      </c>
      <c r="AB124">
        <v>3950.7280000000001</v>
      </c>
      <c r="AC124">
        <v>3.16</v>
      </c>
      <c r="AD124">
        <v>204.74199999999999</v>
      </c>
      <c r="AE124">
        <v>203.89699999999999</v>
      </c>
      <c r="AF124">
        <v>5.335</v>
      </c>
      <c r="AG124">
        <v>200.45500000000001</v>
      </c>
      <c r="AH124">
        <v>0.1476878612716763</v>
      </c>
      <c r="AI124">
        <v>267.96899999999999</v>
      </c>
      <c r="AJ124">
        <v>5.7803468208092491E-3</v>
      </c>
      <c r="AK124">
        <v>0.51600000000000001</v>
      </c>
      <c r="AL124">
        <v>-27.81</v>
      </c>
      <c r="AM124">
        <v>346.06900000000002</v>
      </c>
      <c r="AN124">
        <v>344.53100000000001</v>
      </c>
      <c r="AO124">
        <v>10.211</v>
      </c>
      <c r="AP124">
        <v>295.31299999999999</v>
      </c>
      <c r="AQ124">
        <v>393.75</v>
      </c>
      <c r="AR124">
        <v>1821.0940000000001</v>
      </c>
      <c r="AS124">
        <v>1722.6559999999999</v>
      </c>
      <c r="AT124">
        <v>411.79399999999998</v>
      </c>
      <c r="AU124">
        <v>1476.5630000000001</v>
      </c>
      <c r="AV124">
        <v>2362.5</v>
      </c>
      <c r="AW124">
        <v>3509.384</v>
      </c>
      <c r="AX124">
        <v>3543.75</v>
      </c>
      <c r="AY124">
        <v>156.917</v>
      </c>
      <c r="AZ124">
        <v>3051.5630000000001</v>
      </c>
      <c r="BA124">
        <v>3839.0619999999999</v>
      </c>
      <c r="BB124">
        <v>3.46</v>
      </c>
      <c r="BC124">
        <v>206.80799999999999</v>
      </c>
      <c r="BD124">
        <v>204.84399999999999</v>
      </c>
      <c r="BE124">
        <v>13.651</v>
      </c>
      <c r="BF124">
        <v>201.501</v>
      </c>
      <c r="BG124">
        <v>0.31226993865030678</v>
      </c>
      <c r="BH124">
        <v>361.47500000000002</v>
      </c>
      <c r="BI124">
        <v>1.2576687116564419E-2</v>
      </c>
      <c r="BJ124">
        <v>0.64</v>
      </c>
      <c r="BK124">
        <v>-29.126999999999999</v>
      </c>
      <c r="BL124">
        <v>398.29700000000003</v>
      </c>
      <c r="BM124">
        <v>395.51600000000002</v>
      </c>
      <c r="BN124">
        <v>22.35</v>
      </c>
      <c r="BO124">
        <v>296.637</v>
      </c>
      <c r="BP124">
        <v>593.274</v>
      </c>
      <c r="BQ124">
        <v>1027.1189999999999</v>
      </c>
      <c r="BR124">
        <v>1038.229</v>
      </c>
      <c r="BS124">
        <v>84.9</v>
      </c>
      <c r="BT124">
        <v>988.78899999999999</v>
      </c>
      <c r="BU124">
        <v>1779.8209999999999</v>
      </c>
      <c r="BV124">
        <v>3257.4430000000002</v>
      </c>
      <c r="BW124">
        <v>3213.5650000000001</v>
      </c>
      <c r="BX124">
        <v>191.11600000000001</v>
      </c>
      <c r="BY124">
        <v>2916.9279999999999</v>
      </c>
      <c r="BZ124">
        <v>4251.7939999999999</v>
      </c>
      <c r="CA124">
        <v>3.26</v>
      </c>
      <c r="CB124">
        <v>8</v>
      </c>
      <c r="CC124">
        <v>4</v>
      </c>
      <c r="CD124">
        <v>1</v>
      </c>
      <c r="CE124">
        <v>5</v>
      </c>
      <c r="CF124">
        <v>4</v>
      </c>
    </row>
    <row r="125" spans="1:84" x14ac:dyDescent="0.35">
      <c r="A125" t="s">
        <v>531</v>
      </c>
      <c r="B125" t="str">
        <f t="shared" si="9"/>
        <v xml:space="preserve"> ra_pe_2005_02_25_938</v>
      </c>
      <c r="C125" s="1">
        <f t="shared" si="8"/>
        <v>45762</v>
      </c>
      <c r="D125" t="s">
        <v>78</v>
      </c>
      <c r="E125">
        <v>181.09800000000001</v>
      </c>
      <c r="F125">
        <v>180.315</v>
      </c>
      <c r="G125">
        <v>5.3419999999999996</v>
      </c>
      <c r="H125">
        <v>174.01400000000001</v>
      </c>
      <c r="I125">
        <v>0.8370535714285714</v>
      </c>
      <c r="J125">
        <v>219.559</v>
      </c>
      <c r="K125">
        <v>1.0267857142857141E-2</v>
      </c>
      <c r="L125">
        <v>1.2350000000000001</v>
      </c>
      <c r="M125">
        <v>-15.804</v>
      </c>
      <c r="N125">
        <v>569.03200000000004</v>
      </c>
      <c r="O125">
        <v>560.41099999999994</v>
      </c>
      <c r="P125">
        <v>59.188000000000002</v>
      </c>
      <c r="Q125">
        <v>431.08499999999998</v>
      </c>
      <c r="R125">
        <v>775.95299999999997</v>
      </c>
      <c r="S125">
        <v>1116.7159999999999</v>
      </c>
      <c r="T125">
        <v>1077.713</v>
      </c>
      <c r="U125">
        <v>99.153999999999996</v>
      </c>
      <c r="V125">
        <v>1034.604</v>
      </c>
      <c r="W125">
        <v>1422.5809999999999</v>
      </c>
      <c r="X125">
        <v>3428.261</v>
      </c>
      <c r="Y125">
        <v>3405.5720000000001</v>
      </c>
      <c r="Z125">
        <v>140.44200000000001</v>
      </c>
      <c r="AA125">
        <v>2802.0529999999999</v>
      </c>
      <c r="AB125">
        <v>3836.6570000000002</v>
      </c>
      <c r="AC125">
        <v>2.2400000000000002</v>
      </c>
      <c r="AD125">
        <v>182.136</v>
      </c>
      <c r="AE125">
        <v>181.80199999999999</v>
      </c>
      <c r="AF125">
        <v>3.5579999999999998</v>
      </c>
      <c r="AG125">
        <v>175.59700000000001</v>
      </c>
      <c r="AH125">
        <v>0.1058673469387755</v>
      </c>
      <c r="AI125">
        <v>212.01900000000001</v>
      </c>
      <c r="AJ125">
        <v>5.1020408163265311E-3</v>
      </c>
      <c r="AK125">
        <v>0.59699999999999998</v>
      </c>
      <c r="AL125">
        <v>-20.73</v>
      </c>
      <c r="AM125">
        <v>342.02499999999998</v>
      </c>
      <c r="AN125">
        <v>346.22199999999998</v>
      </c>
      <c r="AO125">
        <v>12.846</v>
      </c>
      <c r="AP125">
        <v>302.94400000000002</v>
      </c>
      <c r="AQ125">
        <v>346.22199999999998</v>
      </c>
      <c r="AR125">
        <v>1609.931</v>
      </c>
      <c r="AS125">
        <v>1644.5530000000001</v>
      </c>
      <c r="AT125">
        <v>164.56700000000001</v>
      </c>
      <c r="AU125">
        <v>1211.7760000000001</v>
      </c>
      <c r="AV125">
        <v>1990.7750000000001</v>
      </c>
      <c r="AW125">
        <v>4247.6570000000002</v>
      </c>
      <c r="AX125">
        <v>4241.2169999999996</v>
      </c>
      <c r="AY125">
        <v>238.95699999999999</v>
      </c>
      <c r="AZ125">
        <v>3202.5520000000001</v>
      </c>
      <c r="BA125">
        <v>4717.2719999999999</v>
      </c>
      <c r="BB125">
        <v>3.92</v>
      </c>
      <c r="BC125">
        <v>184.74799999999999</v>
      </c>
      <c r="BD125">
        <v>184.685</v>
      </c>
      <c r="BE125">
        <v>3.3690000000000002</v>
      </c>
      <c r="BF125">
        <v>178.749</v>
      </c>
      <c r="BG125">
        <v>0.77773722627737207</v>
      </c>
      <c r="BH125">
        <v>204.167</v>
      </c>
      <c r="BI125">
        <v>0</v>
      </c>
      <c r="BJ125">
        <v>0.433</v>
      </c>
      <c r="BK125">
        <v>-24.751000000000001</v>
      </c>
      <c r="BL125">
        <v>353.95100000000002</v>
      </c>
      <c r="BM125">
        <v>348.27199999999999</v>
      </c>
      <c r="BN125">
        <v>26.122</v>
      </c>
      <c r="BO125">
        <v>348.27199999999999</v>
      </c>
      <c r="BP125">
        <v>565.94299999999998</v>
      </c>
      <c r="BQ125">
        <v>1031.7570000000001</v>
      </c>
      <c r="BR125">
        <v>1001.283</v>
      </c>
      <c r="BS125">
        <v>58.517000000000003</v>
      </c>
      <c r="BT125">
        <v>957.74900000000002</v>
      </c>
      <c r="BU125">
        <v>1349.556</v>
      </c>
      <c r="BV125">
        <v>3229.268</v>
      </c>
      <c r="BW125">
        <v>3177.9859999999999</v>
      </c>
      <c r="BX125">
        <v>328.63200000000001</v>
      </c>
      <c r="BY125">
        <v>2524.9749999999999</v>
      </c>
      <c r="BZ125">
        <v>4396.9399999999996</v>
      </c>
      <c r="CA125">
        <v>2.74</v>
      </c>
      <c r="CB125">
        <v>5</v>
      </c>
      <c r="CC125">
        <v>2</v>
      </c>
      <c r="CD125">
        <v>2</v>
      </c>
      <c r="CE125">
        <v>3</v>
      </c>
      <c r="CF125">
        <v>2</v>
      </c>
    </row>
    <row r="126" spans="1:84" x14ac:dyDescent="0.35">
      <c r="A126" t="s">
        <v>532</v>
      </c>
      <c r="B126" t="str">
        <f t="shared" si="9"/>
        <v xml:space="preserve"> re_ma_2005_11_25_490</v>
      </c>
      <c r="C126" s="1">
        <f t="shared" si="8"/>
        <v>45762</v>
      </c>
      <c r="D126" t="s">
        <v>78</v>
      </c>
      <c r="E126">
        <v>176.49299999999999</v>
      </c>
      <c r="F126">
        <v>176.4</v>
      </c>
      <c r="G126">
        <v>5.8280000000000003</v>
      </c>
      <c r="H126">
        <v>166.595</v>
      </c>
      <c r="I126">
        <v>0.99</v>
      </c>
      <c r="J126">
        <v>222.727</v>
      </c>
      <c r="K126">
        <v>0</v>
      </c>
      <c r="L126">
        <v>0.441</v>
      </c>
      <c r="M126">
        <v>-27.54</v>
      </c>
      <c r="N126">
        <v>487.29500000000002</v>
      </c>
      <c r="O126">
        <v>464.21100000000001</v>
      </c>
      <c r="P126">
        <v>60.573999999999998</v>
      </c>
      <c r="Q126">
        <v>379.80900000000003</v>
      </c>
      <c r="R126">
        <v>717.41600000000005</v>
      </c>
      <c r="S126">
        <v>1131.9390000000001</v>
      </c>
      <c r="T126">
        <v>1139.4259999999999</v>
      </c>
      <c r="U126">
        <v>44.244</v>
      </c>
      <c r="V126">
        <v>1012.823</v>
      </c>
      <c r="W126">
        <v>1308.23</v>
      </c>
      <c r="X126">
        <v>2990.136</v>
      </c>
      <c r="Y126">
        <v>2996.268</v>
      </c>
      <c r="Z126">
        <v>140.10300000000001</v>
      </c>
      <c r="AA126">
        <v>2616.4589999999998</v>
      </c>
      <c r="AB126">
        <v>3333.8760000000002</v>
      </c>
      <c r="AC126">
        <v>2.8</v>
      </c>
      <c r="AD126">
        <v>183.76599999999999</v>
      </c>
      <c r="AE126">
        <v>183.422</v>
      </c>
      <c r="AF126">
        <v>3.3330000000000002</v>
      </c>
      <c r="AG126">
        <v>169.61500000000001</v>
      </c>
      <c r="AH126">
        <v>0.98942307692307696</v>
      </c>
      <c r="AI126">
        <v>199.161</v>
      </c>
      <c r="AJ126">
        <v>7.3717948717948716E-3</v>
      </c>
      <c r="AK126">
        <v>0.57199999999999995</v>
      </c>
      <c r="AL126">
        <v>-25.661999999999999</v>
      </c>
      <c r="AM126">
        <v>357.18299999999999</v>
      </c>
      <c r="AN126">
        <v>350</v>
      </c>
      <c r="AO126">
        <v>17.129000000000001</v>
      </c>
      <c r="AP126">
        <v>306.25</v>
      </c>
      <c r="AQ126">
        <v>393.75</v>
      </c>
      <c r="AR126">
        <v>2560.038</v>
      </c>
      <c r="AS126">
        <v>2581.25</v>
      </c>
      <c r="AT126">
        <v>52.591999999999999</v>
      </c>
      <c r="AU126">
        <v>2362.5</v>
      </c>
      <c r="AV126">
        <v>2625</v>
      </c>
      <c r="AW126">
        <v>3561.5740000000001</v>
      </c>
      <c r="AX126">
        <v>3500</v>
      </c>
      <c r="AY126">
        <v>236.22399999999999</v>
      </c>
      <c r="AZ126">
        <v>3237.5</v>
      </c>
      <c r="BA126">
        <v>4725</v>
      </c>
      <c r="BB126">
        <v>3.12</v>
      </c>
      <c r="BC126">
        <v>181.28200000000001</v>
      </c>
      <c r="BD126">
        <v>180.42099999999999</v>
      </c>
      <c r="BE126">
        <v>5.82</v>
      </c>
      <c r="BF126">
        <v>170.27</v>
      </c>
      <c r="BG126">
        <v>0.99056603773584895</v>
      </c>
      <c r="BH126">
        <v>225</v>
      </c>
      <c r="BI126">
        <v>0</v>
      </c>
      <c r="BJ126">
        <v>0.52700000000000002</v>
      </c>
      <c r="BK126">
        <v>-29.974</v>
      </c>
      <c r="BL126">
        <v>351.76600000000002</v>
      </c>
      <c r="BM126">
        <v>347.92899999999997</v>
      </c>
      <c r="BN126">
        <v>12.381</v>
      </c>
      <c r="BO126">
        <v>347.92899999999997</v>
      </c>
      <c r="BP126">
        <v>391.42</v>
      </c>
      <c r="BQ126">
        <v>1019.728</v>
      </c>
      <c r="BR126">
        <v>1000.296</v>
      </c>
      <c r="BS126">
        <v>76.846999999999994</v>
      </c>
      <c r="BT126">
        <v>1000.296</v>
      </c>
      <c r="BU126">
        <v>1522.1890000000001</v>
      </c>
      <c r="BV126">
        <v>4064.674</v>
      </c>
      <c r="BW126">
        <v>4131.6570000000002</v>
      </c>
      <c r="BX126">
        <v>280.07299999999998</v>
      </c>
      <c r="BY126">
        <v>3261.8339999999998</v>
      </c>
      <c r="BZ126">
        <v>4566.5680000000002</v>
      </c>
      <c r="CA126">
        <v>3.18</v>
      </c>
      <c r="CB126">
        <v>4</v>
      </c>
      <c r="CC126">
        <v>1</v>
      </c>
      <c r="CD126">
        <v>2</v>
      </c>
      <c r="CE126">
        <v>4</v>
      </c>
      <c r="CF126">
        <v>0</v>
      </c>
    </row>
    <row r="127" spans="1:84" x14ac:dyDescent="0.35">
      <c r="A127" t="s">
        <v>533</v>
      </c>
      <c r="B127" t="str">
        <f t="shared" si="9"/>
        <v xml:space="preserve"> ro_br_1995_10_30_057</v>
      </c>
      <c r="C127" s="1">
        <f t="shared" si="8"/>
        <v>45762</v>
      </c>
      <c r="D127" t="s">
        <v>78</v>
      </c>
      <c r="E127">
        <v>170.51</v>
      </c>
      <c r="F127">
        <v>168.321</v>
      </c>
      <c r="G127">
        <v>5.9669999999999996</v>
      </c>
      <c r="H127">
        <v>165.16900000000001</v>
      </c>
      <c r="I127">
        <v>0.91224489795918362</v>
      </c>
      <c r="J127">
        <v>214.078</v>
      </c>
      <c r="K127">
        <v>0</v>
      </c>
      <c r="L127">
        <v>0.73299999999999998</v>
      </c>
      <c r="M127">
        <v>-20.501999999999999</v>
      </c>
      <c r="N127">
        <v>800.798</v>
      </c>
      <c r="O127">
        <v>812.15499999999997</v>
      </c>
      <c r="P127">
        <v>61.203000000000003</v>
      </c>
      <c r="Q127">
        <v>649.72400000000005</v>
      </c>
      <c r="R127">
        <v>1096.4090000000001</v>
      </c>
      <c r="S127">
        <v>1155.5999999999999</v>
      </c>
      <c r="T127">
        <v>1137.0170000000001</v>
      </c>
      <c r="U127">
        <v>35.075000000000003</v>
      </c>
      <c r="V127">
        <v>1096.4090000000001</v>
      </c>
      <c r="W127">
        <v>1380.663</v>
      </c>
      <c r="X127">
        <v>2614.7249999999999</v>
      </c>
      <c r="Y127">
        <v>2598.895</v>
      </c>
      <c r="Z127">
        <v>140.97300000000001</v>
      </c>
      <c r="AA127">
        <v>2314.6410000000001</v>
      </c>
      <c r="AB127">
        <v>3451.6570000000002</v>
      </c>
      <c r="AC127">
        <v>2.94</v>
      </c>
      <c r="AD127">
        <v>180.14500000000001</v>
      </c>
      <c r="AE127">
        <v>180.68600000000001</v>
      </c>
      <c r="AF127">
        <v>5.6230000000000002</v>
      </c>
      <c r="AG127">
        <v>170.55199999999999</v>
      </c>
      <c r="AH127">
        <v>0.49819277108433735</v>
      </c>
      <c r="AI127">
        <v>192.93799999999999</v>
      </c>
      <c r="AJ127">
        <v>1.2048192771084338E-2</v>
      </c>
      <c r="AK127">
        <v>1.7529999999999999</v>
      </c>
      <c r="AL127">
        <v>-11.88</v>
      </c>
      <c r="AM127">
        <v>307.96899999999999</v>
      </c>
      <c r="AN127">
        <v>299.12799999999999</v>
      </c>
      <c r="AO127">
        <v>17.460999999999999</v>
      </c>
      <c r="AP127">
        <v>299.12799999999999</v>
      </c>
      <c r="AQ127">
        <v>341.86</v>
      </c>
      <c r="AR127">
        <v>2467.0929999999998</v>
      </c>
      <c r="AS127">
        <v>2478.4879999999998</v>
      </c>
      <c r="AT127">
        <v>96.637</v>
      </c>
      <c r="AU127">
        <v>1837.5</v>
      </c>
      <c r="AV127">
        <v>2563.953</v>
      </c>
      <c r="AW127">
        <v>3205.5520000000001</v>
      </c>
      <c r="AX127">
        <v>3162.2089999999998</v>
      </c>
      <c r="AY127">
        <v>106.79900000000001</v>
      </c>
      <c r="AZ127">
        <v>3034.0120000000002</v>
      </c>
      <c r="BA127">
        <v>3546.8020000000001</v>
      </c>
      <c r="BB127">
        <v>1.66</v>
      </c>
      <c r="BC127">
        <v>182.797</v>
      </c>
      <c r="BD127">
        <v>181.85599999999999</v>
      </c>
      <c r="BE127">
        <v>3.4630000000000001</v>
      </c>
      <c r="BF127">
        <v>174.40700000000001</v>
      </c>
      <c r="BG127">
        <v>0.99821428571428583</v>
      </c>
      <c r="BH127">
        <v>193.785</v>
      </c>
      <c r="BI127">
        <v>1.1904761904761906E-2</v>
      </c>
      <c r="BJ127">
        <v>0.52900000000000003</v>
      </c>
      <c r="BK127">
        <v>-27.248999999999999</v>
      </c>
      <c r="BL127">
        <v>348.79300000000001</v>
      </c>
      <c r="BM127">
        <v>347.58600000000001</v>
      </c>
      <c r="BN127">
        <v>7.19</v>
      </c>
      <c r="BO127">
        <v>347.58600000000001</v>
      </c>
      <c r="BP127">
        <v>391.03399999999999</v>
      </c>
      <c r="BQ127">
        <v>1162.241</v>
      </c>
      <c r="BR127">
        <v>1129.655</v>
      </c>
      <c r="BS127">
        <v>115.883</v>
      </c>
      <c r="BT127">
        <v>1086.2070000000001</v>
      </c>
      <c r="BU127">
        <v>1520.69</v>
      </c>
      <c r="BV127">
        <v>3399.2240000000002</v>
      </c>
      <c r="BW127">
        <v>3388.9659999999999</v>
      </c>
      <c r="BX127">
        <v>106.54900000000001</v>
      </c>
      <c r="BY127">
        <v>2954.4830000000002</v>
      </c>
      <c r="BZ127">
        <v>3693.1030000000001</v>
      </c>
      <c r="CA127">
        <v>1.68</v>
      </c>
      <c r="CB127">
        <v>5</v>
      </c>
      <c r="CC127">
        <v>0</v>
      </c>
      <c r="CD127">
        <v>0</v>
      </c>
      <c r="CE127">
        <v>1</v>
      </c>
      <c r="CF127">
        <v>0</v>
      </c>
    </row>
    <row r="128" spans="1:84" x14ac:dyDescent="0.35">
      <c r="A128" t="s">
        <v>534</v>
      </c>
      <c r="B128" t="str">
        <f t="shared" si="9"/>
        <v xml:space="preserve"> sa_ol_2004_06_21_909</v>
      </c>
      <c r="C128" s="1">
        <f t="shared" si="8"/>
        <v>45762</v>
      </c>
      <c r="D128" t="s">
        <v>78</v>
      </c>
      <c r="E128">
        <v>193.173</v>
      </c>
      <c r="F128">
        <v>192.57599999999999</v>
      </c>
      <c r="G128">
        <v>6.4349999999999996</v>
      </c>
      <c r="H128">
        <v>189.27</v>
      </c>
      <c r="I128">
        <v>3.6610878661087864E-2</v>
      </c>
      <c r="J128">
        <v>268.90199999999999</v>
      </c>
      <c r="K128">
        <v>0</v>
      </c>
      <c r="L128">
        <v>0.42099999999999999</v>
      </c>
      <c r="M128">
        <v>-24.745999999999999</v>
      </c>
      <c r="N128">
        <v>583.29999999999995</v>
      </c>
      <c r="O128">
        <v>598.43399999999997</v>
      </c>
      <c r="P128">
        <v>30.6</v>
      </c>
      <c r="Q128">
        <v>414.30099999999999</v>
      </c>
      <c r="R128">
        <v>828.601</v>
      </c>
      <c r="S128">
        <v>1366.4770000000001</v>
      </c>
      <c r="T128">
        <v>1381.002</v>
      </c>
      <c r="U128">
        <v>65.929000000000002</v>
      </c>
      <c r="V128">
        <v>1150.835</v>
      </c>
      <c r="W128">
        <v>1473.069</v>
      </c>
      <c r="X128">
        <v>3065.11</v>
      </c>
      <c r="Y128">
        <v>3038.2049999999999</v>
      </c>
      <c r="Z128">
        <v>125.146</v>
      </c>
      <c r="AA128">
        <v>2762.0039999999999</v>
      </c>
      <c r="AB128">
        <v>3452.5050000000001</v>
      </c>
      <c r="AC128">
        <v>4.78</v>
      </c>
      <c r="AD128">
        <v>196.267</v>
      </c>
      <c r="AE128">
        <v>194.518</v>
      </c>
      <c r="AF128">
        <v>14.311</v>
      </c>
      <c r="AG128">
        <v>191.62</v>
      </c>
      <c r="AH128">
        <v>0.55557692307692297</v>
      </c>
      <c r="AI128">
        <v>329.10399999999998</v>
      </c>
      <c r="AJ128">
        <v>0</v>
      </c>
      <c r="AK128">
        <v>0.40300000000000002</v>
      </c>
      <c r="AL128">
        <v>-29.36</v>
      </c>
      <c r="AM128">
        <v>371.19200000000001</v>
      </c>
      <c r="AN128">
        <v>372.54500000000002</v>
      </c>
      <c r="AO128">
        <v>7837</v>
      </c>
      <c r="AP128">
        <v>325.97699999999998</v>
      </c>
      <c r="AQ128">
        <v>372.54500000000002</v>
      </c>
      <c r="AR128">
        <v>2408.1089999999999</v>
      </c>
      <c r="AS128">
        <v>2421.5419999999999</v>
      </c>
      <c r="AT128">
        <v>90.772000000000006</v>
      </c>
      <c r="AU128">
        <v>1816.1559999999999</v>
      </c>
      <c r="AV128">
        <v>2561.2460000000001</v>
      </c>
      <c r="AW128">
        <v>3201.413</v>
      </c>
      <c r="AX128">
        <v>3166.6309999999999</v>
      </c>
      <c r="AY128">
        <v>100.489</v>
      </c>
      <c r="AZ128">
        <v>2980.3589999999999</v>
      </c>
      <c r="BA128">
        <v>3865.1529999999998</v>
      </c>
      <c r="BB128">
        <v>5.2</v>
      </c>
      <c r="BC128">
        <v>193.37700000000001</v>
      </c>
      <c r="BD128">
        <v>194.273</v>
      </c>
      <c r="BE128">
        <v>10.241</v>
      </c>
      <c r="BF128">
        <v>97.013999999999996</v>
      </c>
      <c r="BG128">
        <v>0.17949308755760371</v>
      </c>
      <c r="BH128">
        <v>215.874</v>
      </c>
      <c r="BI128">
        <v>1.4976958525345623E-2</v>
      </c>
      <c r="BJ128">
        <v>2.383</v>
      </c>
      <c r="BK128">
        <v>-31.030999999999999</v>
      </c>
      <c r="BL128">
        <v>372.69400000000002</v>
      </c>
      <c r="BM128">
        <v>371.76</v>
      </c>
      <c r="BN128">
        <v>6538</v>
      </c>
      <c r="BO128">
        <v>371.76</v>
      </c>
      <c r="BP128">
        <v>418.23</v>
      </c>
      <c r="BQ128">
        <v>1034.8499999999999</v>
      </c>
      <c r="BR128">
        <v>1022.3390000000001</v>
      </c>
      <c r="BS128">
        <v>53.712000000000003</v>
      </c>
      <c r="BT128">
        <v>975.86900000000003</v>
      </c>
      <c r="BU128">
        <v>1626.4490000000001</v>
      </c>
      <c r="BV128">
        <v>3813.0929999999998</v>
      </c>
      <c r="BW128">
        <v>3810.5369999999998</v>
      </c>
      <c r="BX128">
        <v>168.435</v>
      </c>
      <c r="BY128">
        <v>2927.6080000000002</v>
      </c>
      <c r="BZ128">
        <v>4414.6469999999999</v>
      </c>
      <c r="CA128">
        <v>4.34</v>
      </c>
      <c r="CB128">
        <v>9</v>
      </c>
      <c r="CC128">
        <v>0</v>
      </c>
      <c r="CD128">
        <v>0</v>
      </c>
      <c r="CE128">
        <v>6</v>
      </c>
      <c r="CF128">
        <v>4</v>
      </c>
    </row>
    <row r="129" spans="1:84" x14ac:dyDescent="0.35">
      <c r="A129" t="s">
        <v>535</v>
      </c>
      <c r="B129" t="str">
        <f t="shared" si="9"/>
        <v xml:space="preserve"> sa_pa_2005_06_03_918</v>
      </c>
      <c r="C129" s="1">
        <f t="shared" si="8"/>
        <v>45762</v>
      </c>
      <c r="D129" t="s">
        <v>78</v>
      </c>
      <c r="E129">
        <v>190.13499999999999</v>
      </c>
      <c r="F129">
        <v>190.203</v>
      </c>
      <c r="G129">
        <v>1.3979999999999999</v>
      </c>
      <c r="H129">
        <v>185.964</v>
      </c>
      <c r="I129">
        <v>0.46280991735537197</v>
      </c>
      <c r="J129">
        <v>193.90700000000001</v>
      </c>
      <c r="K129">
        <v>0.9809917355371901</v>
      </c>
      <c r="L129">
        <v>0.36299999999999999</v>
      </c>
      <c r="M129">
        <v>-27.87</v>
      </c>
      <c r="N129">
        <v>680.83600000000001</v>
      </c>
      <c r="O129">
        <v>688.34500000000003</v>
      </c>
      <c r="P129">
        <v>62.325000000000003</v>
      </c>
      <c r="Q129">
        <v>413.00700000000001</v>
      </c>
      <c r="R129">
        <v>826.01499999999999</v>
      </c>
      <c r="S129">
        <v>1110.5309999999999</v>
      </c>
      <c r="T129">
        <v>1101.3530000000001</v>
      </c>
      <c r="U129">
        <v>94.64</v>
      </c>
      <c r="V129">
        <v>1009.573</v>
      </c>
      <c r="W129">
        <v>1422.5809999999999</v>
      </c>
      <c r="X129">
        <v>2302.4110000000001</v>
      </c>
      <c r="Y129">
        <v>2248.5949999999998</v>
      </c>
      <c r="Z129">
        <v>164.446</v>
      </c>
      <c r="AA129">
        <v>2019.1469999999999</v>
      </c>
      <c r="AB129">
        <v>2707.4920000000002</v>
      </c>
      <c r="AC129">
        <v>2.42</v>
      </c>
      <c r="AD129">
        <v>199.649</v>
      </c>
      <c r="AE129">
        <v>198.905</v>
      </c>
      <c r="AF129">
        <v>4.4320000000000004</v>
      </c>
      <c r="AG129">
        <v>193.179</v>
      </c>
      <c r="AH129">
        <v>0.20429687500000002</v>
      </c>
      <c r="AI129">
        <v>222.08600000000001</v>
      </c>
      <c r="AJ129">
        <v>1.6015624999999999E-2</v>
      </c>
      <c r="AK129">
        <v>0.65100000000000002</v>
      </c>
      <c r="AL129">
        <v>-30.533000000000001</v>
      </c>
      <c r="AM129">
        <v>332.19400000000002</v>
      </c>
      <c r="AN129">
        <v>337.00900000000001</v>
      </c>
      <c r="AO129">
        <v>26.6</v>
      </c>
      <c r="AP129">
        <v>288.86500000000001</v>
      </c>
      <c r="AQ129">
        <v>385.15300000000002</v>
      </c>
      <c r="AR129">
        <v>2441.5940000000001</v>
      </c>
      <c r="AS129">
        <v>2455.3490000000002</v>
      </c>
      <c r="AT129">
        <v>97.394000000000005</v>
      </c>
      <c r="AU129">
        <v>2214.6289999999999</v>
      </c>
      <c r="AV129">
        <v>2647.9259999999999</v>
      </c>
      <c r="AW129">
        <v>3006.6390000000001</v>
      </c>
      <c r="AX129">
        <v>2984.9340000000002</v>
      </c>
      <c r="AY129">
        <v>145.96299999999999</v>
      </c>
      <c r="AZ129">
        <v>2744.2139999999999</v>
      </c>
      <c r="BA129">
        <v>3562.6640000000002</v>
      </c>
      <c r="BB129">
        <v>2.56</v>
      </c>
      <c r="BC129">
        <v>199.958</v>
      </c>
      <c r="BD129">
        <v>201.501</v>
      </c>
      <c r="BE129">
        <v>15.897</v>
      </c>
      <c r="BF129">
        <v>99.42</v>
      </c>
      <c r="BG129">
        <v>6.5972222222222224E-2</v>
      </c>
      <c r="BH129">
        <v>249.15299999999999</v>
      </c>
      <c r="BI129">
        <v>0</v>
      </c>
      <c r="BJ129">
        <v>2.141</v>
      </c>
      <c r="BK129">
        <v>-25.363</v>
      </c>
      <c r="BL129">
        <v>421.57900000000001</v>
      </c>
      <c r="BM129">
        <v>430.01100000000002</v>
      </c>
      <c r="BN129">
        <v>35.792999999999999</v>
      </c>
      <c r="BO129">
        <v>286.67399999999998</v>
      </c>
      <c r="BP129">
        <v>525.56899999999996</v>
      </c>
      <c r="BQ129">
        <v>1017.9</v>
      </c>
      <c r="BR129">
        <v>1003.359</v>
      </c>
      <c r="BS129">
        <v>88.141000000000005</v>
      </c>
      <c r="BT129">
        <v>955.58</v>
      </c>
      <c r="BU129">
        <v>1385.59</v>
      </c>
      <c r="BV129">
        <v>3943.8739999999998</v>
      </c>
      <c r="BW129">
        <v>4013.4340000000002</v>
      </c>
      <c r="BX129">
        <v>280.64499999999998</v>
      </c>
      <c r="BY129">
        <v>3105.634</v>
      </c>
      <c r="BZ129">
        <v>4443.4449999999997</v>
      </c>
      <c r="CA129">
        <v>2.88</v>
      </c>
      <c r="CB129">
        <v>7</v>
      </c>
      <c r="CC129">
        <v>1</v>
      </c>
      <c r="CD129">
        <v>0</v>
      </c>
      <c r="CE129">
        <v>4</v>
      </c>
      <c r="CF129">
        <v>5</v>
      </c>
    </row>
    <row r="130" spans="1:84" x14ac:dyDescent="0.35">
      <c r="A130" t="s">
        <v>415</v>
      </c>
      <c r="B130" t="str">
        <f t="shared" si="9"/>
        <v xml:space="preserve"> se_co_1998_04_24_910</v>
      </c>
      <c r="C130" s="1">
        <f t="shared" ref="C130:C142" si="10">DATEVALUE(SUBSTITUTE(_xlfn.TEXTAFTER(_xlfn.TEXTBEFORE(A130," -"),"a2_"),"_","/"))</f>
        <v>45790</v>
      </c>
      <c r="D130" t="s">
        <v>78</v>
      </c>
      <c r="E130">
        <v>205.08600000000001</v>
      </c>
      <c r="F130">
        <v>204.84399999999999</v>
      </c>
      <c r="G130">
        <v>7.3789999999999996</v>
      </c>
      <c r="H130">
        <v>130.19800000000001</v>
      </c>
      <c r="I130">
        <v>0</v>
      </c>
      <c r="J130">
        <v>218.31700000000001</v>
      </c>
      <c r="K130">
        <v>2.3699421965317921E-2</v>
      </c>
      <c r="L130">
        <v>0.68100000000000005</v>
      </c>
      <c r="M130">
        <v>-21.876000000000001</v>
      </c>
      <c r="N130">
        <v>936.61199999999997</v>
      </c>
      <c r="O130">
        <v>935.15599999999995</v>
      </c>
      <c r="P130">
        <v>62.262999999999998</v>
      </c>
      <c r="Q130">
        <v>442.96899999999999</v>
      </c>
      <c r="R130">
        <v>1082.8130000000001</v>
      </c>
      <c r="S130">
        <v>1157.077</v>
      </c>
      <c r="T130">
        <v>1181.25</v>
      </c>
      <c r="U130">
        <v>42.325000000000003</v>
      </c>
      <c r="V130">
        <v>1082.8130000000001</v>
      </c>
      <c r="W130">
        <v>1230.4690000000001</v>
      </c>
      <c r="X130">
        <v>3384.1529999999998</v>
      </c>
      <c r="Y130">
        <v>3396.0940000000001</v>
      </c>
      <c r="Z130">
        <v>164.518</v>
      </c>
      <c r="AA130">
        <v>2756.25</v>
      </c>
      <c r="AB130">
        <v>3642.1880000000001</v>
      </c>
      <c r="AC130">
        <v>3.46</v>
      </c>
      <c r="AD130">
        <v>211.631</v>
      </c>
      <c r="AE130">
        <v>211.80099999999999</v>
      </c>
      <c r="AF130">
        <v>11.605</v>
      </c>
      <c r="AG130">
        <v>116.096</v>
      </c>
      <c r="AH130">
        <v>6.7114093959731542E-3</v>
      </c>
      <c r="AI130">
        <v>234.21899999999999</v>
      </c>
      <c r="AJ130">
        <v>1.9798657718120803E-2</v>
      </c>
      <c r="AK130">
        <v>1.6539999999999999</v>
      </c>
      <c r="AL130">
        <v>-26.721</v>
      </c>
      <c r="AM130">
        <v>302.26900000000001</v>
      </c>
      <c r="AN130">
        <v>305.54300000000001</v>
      </c>
      <c r="AO130">
        <v>20.452000000000002</v>
      </c>
      <c r="AP130">
        <v>254.619</v>
      </c>
      <c r="AQ130">
        <v>407.39</v>
      </c>
      <c r="AR130">
        <v>2259.319</v>
      </c>
      <c r="AS130">
        <v>2266.1089999999999</v>
      </c>
      <c r="AT130">
        <v>110.127</v>
      </c>
      <c r="AU130">
        <v>1273.095</v>
      </c>
      <c r="AV130">
        <v>2393.4180000000001</v>
      </c>
      <c r="AW130">
        <v>3748.33</v>
      </c>
      <c r="AX130">
        <v>3768.36</v>
      </c>
      <c r="AY130">
        <v>111.926</v>
      </c>
      <c r="AZ130">
        <v>3004.5030000000002</v>
      </c>
      <c r="BA130">
        <v>3870.2080000000001</v>
      </c>
      <c r="BB130">
        <v>2.98</v>
      </c>
      <c r="BC130">
        <v>213.988</v>
      </c>
      <c r="BD130">
        <v>216.93700000000001</v>
      </c>
      <c r="BE130">
        <v>16.800999999999998</v>
      </c>
      <c r="BF130">
        <v>114.164</v>
      </c>
      <c r="BG130">
        <v>7.575757575757576E-3</v>
      </c>
      <c r="BH130">
        <v>233.15700000000001</v>
      </c>
      <c r="BI130">
        <v>2.9545454545454545E-2</v>
      </c>
      <c r="BJ130">
        <v>1.1479999999999999</v>
      </c>
      <c r="BK130">
        <v>-28.167999999999999</v>
      </c>
      <c r="BL130">
        <v>404.48399999999998</v>
      </c>
      <c r="BM130">
        <v>416.529</v>
      </c>
      <c r="BN130">
        <v>22.038</v>
      </c>
      <c r="BO130">
        <v>364.46300000000002</v>
      </c>
      <c r="BP130">
        <v>416.529</v>
      </c>
      <c r="BQ130">
        <v>1070.6099999999999</v>
      </c>
      <c r="BR130">
        <v>1041.3219999999999</v>
      </c>
      <c r="BS130">
        <v>105.8</v>
      </c>
      <c r="BT130">
        <v>989.25599999999997</v>
      </c>
      <c r="BU130">
        <v>1353.7190000000001</v>
      </c>
      <c r="BV130">
        <v>3679.4659999999999</v>
      </c>
      <c r="BW130">
        <v>3644.6280000000002</v>
      </c>
      <c r="BX130">
        <v>176.77</v>
      </c>
      <c r="BY130">
        <v>3123.9670000000001</v>
      </c>
      <c r="BZ130">
        <v>4113.223</v>
      </c>
      <c r="CA130">
        <v>2.64</v>
      </c>
      <c r="CB130">
        <v>1</v>
      </c>
      <c r="CC130">
        <v>1</v>
      </c>
      <c r="CD130">
        <v>0</v>
      </c>
      <c r="CE130">
        <v>1</v>
      </c>
      <c r="CF130">
        <v>0</v>
      </c>
    </row>
    <row r="131" spans="1:84" x14ac:dyDescent="0.35">
      <c r="A131" t="s">
        <v>536</v>
      </c>
      <c r="B131" t="str">
        <f t="shared" si="9"/>
        <v xml:space="preserve"> si_co_2002_08_13_884</v>
      </c>
      <c r="C131" s="1">
        <f t="shared" si="10"/>
        <v>45762</v>
      </c>
      <c r="D131" t="s">
        <v>78</v>
      </c>
      <c r="E131">
        <v>183.499</v>
      </c>
      <c r="F131">
        <v>183.042</v>
      </c>
      <c r="G131">
        <v>5.6619999999999999</v>
      </c>
      <c r="H131">
        <v>171.31</v>
      </c>
      <c r="I131">
        <v>0.4903448275862069</v>
      </c>
      <c r="J131">
        <v>218.471</v>
      </c>
      <c r="K131">
        <v>0.96482758620689657</v>
      </c>
      <c r="L131">
        <v>0.745</v>
      </c>
      <c r="M131">
        <v>-23.655999999999999</v>
      </c>
      <c r="N131">
        <v>652.89099999999996</v>
      </c>
      <c r="O131">
        <v>659.52099999999996</v>
      </c>
      <c r="P131">
        <v>69.700999999999993</v>
      </c>
      <c r="Q131">
        <v>483.649</v>
      </c>
      <c r="R131">
        <v>879.36199999999997</v>
      </c>
      <c r="S131">
        <v>1086.8910000000001</v>
      </c>
      <c r="T131">
        <v>1099.202</v>
      </c>
      <c r="U131">
        <v>65.263000000000005</v>
      </c>
      <c r="V131">
        <v>967.298</v>
      </c>
      <c r="W131">
        <v>1275.075</v>
      </c>
      <c r="X131">
        <v>3165.703</v>
      </c>
      <c r="Y131">
        <v>3165.703</v>
      </c>
      <c r="Z131">
        <v>250.95</v>
      </c>
      <c r="AA131">
        <v>2462.2130000000002</v>
      </c>
      <c r="AB131">
        <v>3869.192</v>
      </c>
      <c r="AC131">
        <v>2.9</v>
      </c>
      <c r="AD131">
        <v>190.83500000000001</v>
      </c>
      <c r="AE131">
        <v>190.203</v>
      </c>
      <c r="AF131">
        <v>7.093</v>
      </c>
      <c r="AG131">
        <v>177.82300000000001</v>
      </c>
      <c r="AH131">
        <v>0.88671328671328675</v>
      </c>
      <c r="AI131">
        <v>249.15299999999999</v>
      </c>
      <c r="AJ131">
        <v>0</v>
      </c>
      <c r="AK131">
        <v>0.79100000000000004</v>
      </c>
      <c r="AL131">
        <v>-28.166</v>
      </c>
      <c r="AM131">
        <v>358.89600000000002</v>
      </c>
      <c r="AN131">
        <v>359.267</v>
      </c>
      <c r="AO131">
        <v>14.776</v>
      </c>
      <c r="AP131">
        <v>314.358</v>
      </c>
      <c r="AQ131">
        <v>493.99200000000002</v>
      </c>
      <c r="AR131">
        <v>2440.2559999999999</v>
      </c>
      <c r="AS131">
        <v>2425.0509999999999</v>
      </c>
      <c r="AT131">
        <v>71.393000000000001</v>
      </c>
      <c r="AU131">
        <v>2065.7840000000001</v>
      </c>
      <c r="AV131">
        <v>2559.7759999999998</v>
      </c>
      <c r="AW131">
        <v>3404.194</v>
      </c>
      <c r="AX131">
        <v>3457.9430000000002</v>
      </c>
      <c r="AY131">
        <v>242.43600000000001</v>
      </c>
      <c r="AZ131">
        <v>2829.2260000000001</v>
      </c>
      <c r="BA131">
        <v>3951.9349999999999</v>
      </c>
      <c r="BB131">
        <v>2.86</v>
      </c>
      <c r="BC131">
        <v>193.5</v>
      </c>
      <c r="BD131">
        <v>192.45599999999999</v>
      </c>
      <c r="BE131">
        <v>7.8150000000000004</v>
      </c>
      <c r="BF131">
        <v>187.54599999999999</v>
      </c>
      <c r="BG131">
        <v>0.75968992248062017</v>
      </c>
      <c r="BH131">
        <v>264.072</v>
      </c>
      <c r="BI131">
        <v>0</v>
      </c>
      <c r="BJ131">
        <v>0.68899999999999995</v>
      </c>
      <c r="BK131">
        <v>-30.513000000000002</v>
      </c>
      <c r="BL131">
        <v>370.26900000000001</v>
      </c>
      <c r="BM131">
        <v>366.35500000000002</v>
      </c>
      <c r="BN131">
        <v>19.552</v>
      </c>
      <c r="BO131">
        <v>366.35500000000002</v>
      </c>
      <c r="BP131">
        <v>549.53300000000002</v>
      </c>
      <c r="BQ131">
        <v>1011.478</v>
      </c>
      <c r="BR131">
        <v>1007.477</v>
      </c>
      <c r="BS131">
        <v>20.385999999999999</v>
      </c>
      <c r="BT131">
        <v>961.68200000000002</v>
      </c>
      <c r="BU131">
        <v>1099.0650000000001</v>
      </c>
      <c r="BV131">
        <v>3557.0889999999999</v>
      </c>
      <c r="BW131">
        <v>3571.9630000000002</v>
      </c>
      <c r="BX131">
        <v>214.27500000000001</v>
      </c>
      <c r="BY131">
        <v>2885.047</v>
      </c>
      <c r="BZ131">
        <v>4029.9070000000002</v>
      </c>
      <c r="CA131">
        <v>2.58</v>
      </c>
      <c r="CB131">
        <v>4</v>
      </c>
      <c r="CC131">
        <v>3</v>
      </c>
      <c r="CD131">
        <v>0</v>
      </c>
      <c r="CE131">
        <v>0</v>
      </c>
      <c r="CF131">
        <v>0</v>
      </c>
    </row>
    <row r="132" spans="1:84" x14ac:dyDescent="0.35">
      <c r="A132" t="s">
        <v>537</v>
      </c>
      <c r="B132" t="str">
        <f t="shared" si="9"/>
        <v xml:space="preserve"> so_fa_1999_11_16_426</v>
      </c>
      <c r="C132" s="1">
        <f t="shared" si="10"/>
        <v>45762</v>
      </c>
      <c r="D132" t="s">
        <v>78</v>
      </c>
      <c r="E132">
        <v>166.08699999999999</v>
      </c>
      <c r="F132">
        <v>163.29</v>
      </c>
      <c r="G132">
        <v>11.474</v>
      </c>
      <c r="H132">
        <v>159.78299999999999</v>
      </c>
      <c r="I132">
        <v>0.62571428571428578</v>
      </c>
      <c r="J132">
        <v>236.733</v>
      </c>
      <c r="K132">
        <v>0</v>
      </c>
      <c r="L132">
        <v>1.1970000000000001</v>
      </c>
      <c r="M132">
        <v>-24.300999999999998</v>
      </c>
      <c r="N132">
        <v>672.37699999999995</v>
      </c>
      <c r="O132">
        <v>672.37699999999995</v>
      </c>
      <c r="P132">
        <v>86.290999999999997</v>
      </c>
      <c r="Q132">
        <v>474.61900000000003</v>
      </c>
      <c r="R132">
        <v>949.23800000000006</v>
      </c>
      <c r="S132">
        <v>1173.3630000000001</v>
      </c>
      <c r="T132">
        <v>1146.9960000000001</v>
      </c>
      <c r="U132">
        <v>83.963999999999999</v>
      </c>
      <c r="V132">
        <v>1067.8920000000001</v>
      </c>
      <c r="W132">
        <v>1502.96</v>
      </c>
      <c r="X132">
        <v>2677.0549999999998</v>
      </c>
      <c r="Y132">
        <v>2649.9549999999999</v>
      </c>
      <c r="Z132">
        <v>341.43299999999999</v>
      </c>
      <c r="AA132">
        <v>2096.2330000000002</v>
      </c>
      <c r="AB132">
        <v>4904.3950000000004</v>
      </c>
      <c r="AC132">
        <v>1.4</v>
      </c>
      <c r="AD132">
        <v>173.21100000000001</v>
      </c>
      <c r="AE132">
        <v>171.02500000000001</v>
      </c>
      <c r="AF132">
        <v>10.742000000000001</v>
      </c>
      <c r="AG132">
        <v>162.38800000000001</v>
      </c>
      <c r="AH132">
        <v>0.99821428571428583</v>
      </c>
      <c r="AI132">
        <v>255.124</v>
      </c>
      <c r="AJ132">
        <v>1.1904761904761906E-2</v>
      </c>
      <c r="AK132">
        <v>0.91900000000000004</v>
      </c>
      <c r="AL132">
        <v>-27.902999999999999</v>
      </c>
      <c r="AM132">
        <v>333.14400000000001</v>
      </c>
      <c r="AN132">
        <v>333.14400000000001</v>
      </c>
      <c r="AO132">
        <v>7.42</v>
      </c>
      <c r="AP132">
        <v>291.50099999999998</v>
      </c>
      <c r="AQ132">
        <v>374.78800000000001</v>
      </c>
      <c r="AR132">
        <v>1832.2950000000001</v>
      </c>
      <c r="AS132">
        <v>1832.2950000000001</v>
      </c>
      <c r="AT132">
        <v>0</v>
      </c>
      <c r="AU132">
        <v>1832.2950000000001</v>
      </c>
      <c r="AV132">
        <v>1832.2950000000001</v>
      </c>
      <c r="AW132">
        <v>4093.09</v>
      </c>
      <c r="AX132">
        <v>4081.02</v>
      </c>
      <c r="AY132">
        <v>95.31</v>
      </c>
      <c r="AZ132">
        <v>3581.3029999999999</v>
      </c>
      <c r="BA132">
        <v>4247.5919999999996</v>
      </c>
      <c r="BB132">
        <v>1.68</v>
      </c>
      <c r="BC132">
        <v>176.56700000000001</v>
      </c>
      <c r="BD132">
        <v>175.298</v>
      </c>
      <c r="BE132">
        <v>5.0730000000000004</v>
      </c>
      <c r="BF132">
        <v>171.691</v>
      </c>
      <c r="BG132">
        <v>0.44624999999999998</v>
      </c>
      <c r="BH132">
        <v>192.697</v>
      </c>
      <c r="BI132">
        <v>2.7499999999999997E-2</v>
      </c>
      <c r="BJ132">
        <v>0.49</v>
      </c>
      <c r="BK132">
        <v>-28.945</v>
      </c>
      <c r="BL132">
        <v>387.07</v>
      </c>
      <c r="BM132">
        <v>382.00200000000001</v>
      </c>
      <c r="BN132">
        <v>22.8</v>
      </c>
      <c r="BO132">
        <v>339.55700000000002</v>
      </c>
      <c r="BP132">
        <v>424.447</v>
      </c>
      <c r="BQ132">
        <v>1067.18</v>
      </c>
      <c r="BR132">
        <v>1061.116</v>
      </c>
      <c r="BS132">
        <v>64.406000000000006</v>
      </c>
      <c r="BT132">
        <v>976.22699999999998</v>
      </c>
      <c r="BU132">
        <v>1273.3399999999999</v>
      </c>
      <c r="BV132">
        <v>3237.1970000000001</v>
      </c>
      <c r="BW132">
        <v>3225.7939999999999</v>
      </c>
      <c r="BX132">
        <v>199.98400000000001</v>
      </c>
      <c r="BY132">
        <v>2758.9029999999998</v>
      </c>
      <c r="BZ132">
        <v>4032.2429999999999</v>
      </c>
      <c r="CA132">
        <v>1.6</v>
      </c>
      <c r="CB132">
        <v>6</v>
      </c>
      <c r="CC132">
        <v>0</v>
      </c>
      <c r="CD132">
        <v>0</v>
      </c>
      <c r="CE132">
        <v>2</v>
      </c>
      <c r="CF132">
        <v>0</v>
      </c>
    </row>
    <row r="133" spans="1:84" x14ac:dyDescent="0.35">
      <c r="A133" t="s">
        <v>538</v>
      </c>
      <c r="B133" t="str">
        <f t="shared" si="9"/>
        <v xml:space="preserve"> so_nu_2005_03_11_255</v>
      </c>
      <c r="C133" s="1">
        <f t="shared" si="10"/>
        <v>45762</v>
      </c>
      <c r="D133" t="s">
        <v>78</v>
      </c>
      <c r="E133">
        <v>180.9</v>
      </c>
      <c r="F133">
        <v>172.554</v>
      </c>
      <c r="G133">
        <v>39.576000000000001</v>
      </c>
      <c r="H133">
        <v>96.710999999999999</v>
      </c>
      <c r="I133">
        <v>0.98712871287128712</v>
      </c>
      <c r="J133">
        <v>361.47500000000002</v>
      </c>
      <c r="K133">
        <v>0.91782178217821786</v>
      </c>
      <c r="L133">
        <v>4.6029999999999998</v>
      </c>
      <c r="M133">
        <v>-25.748000000000001</v>
      </c>
      <c r="N133">
        <v>635.31899999999996</v>
      </c>
      <c r="O133">
        <v>604.11</v>
      </c>
      <c r="P133">
        <v>116.709</v>
      </c>
      <c r="Q133">
        <v>302.05500000000001</v>
      </c>
      <c r="R133">
        <v>1121.9179999999999</v>
      </c>
      <c r="S133">
        <v>1212.9860000000001</v>
      </c>
      <c r="T133">
        <v>1208.2190000000001</v>
      </c>
      <c r="U133">
        <v>124.56100000000001</v>
      </c>
      <c r="V133">
        <v>1035.616</v>
      </c>
      <c r="W133">
        <v>1596.575</v>
      </c>
      <c r="X133">
        <v>2718.9920000000002</v>
      </c>
      <c r="Y133">
        <v>2718.4929999999999</v>
      </c>
      <c r="Z133">
        <v>226.761</v>
      </c>
      <c r="AA133">
        <v>2200.6849999999999</v>
      </c>
      <c r="AB133">
        <v>3710.9589999999998</v>
      </c>
      <c r="AC133">
        <v>4.04</v>
      </c>
      <c r="AD133">
        <v>179.40700000000001</v>
      </c>
      <c r="AE133">
        <v>180.21</v>
      </c>
      <c r="AF133">
        <v>20.321999999999999</v>
      </c>
      <c r="AG133">
        <v>98.531999999999996</v>
      </c>
      <c r="AH133">
        <v>0.94701086956521729</v>
      </c>
      <c r="AI133">
        <v>361.47500000000002</v>
      </c>
      <c r="AJ133">
        <v>0.98586956521739133</v>
      </c>
      <c r="AK133">
        <v>3.3029999999999999</v>
      </c>
      <c r="AL133">
        <v>-25.733000000000001</v>
      </c>
      <c r="AM133">
        <v>340.72399999999999</v>
      </c>
      <c r="AN133">
        <v>339.23099999999999</v>
      </c>
      <c r="AO133">
        <v>17.059999999999999</v>
      </c>
      <c r="AP133">
        <v>296.827</v>
      </c>
      <c r="AQ133">
        <v>508.846</v>
      </c>
      <c r="AR133">
        <v>1487.163</v>
      </c>
      <c r="AS133">
        <v>1399.327</v>
      </c>
      <c r="AT133">
        <v>217.15299999999999</v>
      </c>
      <c r="AU133">
        <v>1314.519</v>
      </c>
      <c r="AV133">
        <v>2035.385</v>
      </c>
      <c r="AW133">
        <v>3271.9349999999999</v>
      </c>
      <c r="AX133">
        <v>3265.096</v>
      </c>
      <c r="AY133">
        <v>154.06700000000001</v>
      </c>
      <c r="AZ133">
        <v>2925.8649999999998</v>
      </c>
      <c r="BA133">
        <v>3816.346</v>
      </c>
      <c r="BB133">
        <v>3.68</v>
      </c>
      <c r="BC133">
        <v>180.57900000000001</v>
      </c>
      <c r="BD133">
        <v>183.31399999999999</v>
      </c>
      <c r="BE133">
        <v>18.538</v>
      </c>
      <c r="BF133">
        <v>90</v>
      </c>
      <c r="BG133">
        <v>0.97727272727272729</v>
      </c>
      <c r="BH133">
        <v>226.81899999999999</v>
      </c>
      <c r="BI133">
        <v>0</v>
      </c>
      <c r="BJ133">
        <v>2.351</v>
      </c>
      <c r="BK133">
        <v>-29.68</v>
      </c>
      <c r="BL133">
        <v>374.85300000000001</v>
      </c>
      <c r="BM133">
        <v>389.88200000000001</v>
      </c>
      <c r="BN133">
        <v>48.804000000000002</v>
      </c>
      <c r="BO133">
        <v>303.24200000000002</v>
      </c>
      <c r="BP133">
        <v>823.08399999999995</v>
      </c>
      <c r="BQ133">
        <v>1039.3119999999999</v>
      </c>
      <c r="BR133">
        <v>996.36500000000001</v>
      </c>
      <c r="BS133">
        <v>93.784999999999997</v>
      </c>
      <c r="BT133">
        <v>996.36500000000001</v>
      </c>
      <c r="BU133">
        <v>1472.8879999999999</v>
      </c>
      <c r="BV133">
        <v>3695.13</v>
      </c>
      <c r="BW133">
        <v>3638.9</v>
      </c>
      <c r="BX133">
        <v>395.10300000000001</v>
      </c>
      <c r="BY133">
        <v>2685.855</v>
      </c>
      <c r="BZ133">
        <v>4548.625</v>
      </c>
      <c r="CA133">
        <v>3.52</v>
      </c>
      <c r="CB133">
        <v>1</v>
      </c>
      <c r="CC133">
        <v>0</v>
      </c>
      <c r="CD133">
        <v>0</v>
      </c>
      <c r="CE133">
        <v>0</v>
      </c>
      <c r="CF133">
        <v>0</v>
      </c>
    </row>
    <row r="134" spans="1:84" x14ac:dyDescent="0.35">
      <c r="A134" t="s">
        <v>539</v>
      </c>
      <c r="B134" t="str">
        <f t="shared" si="9"/>
        <v xml:space="preserve"> so_pa_2005_04_02_152</v>
      </c>
      <c r="C134" s="1">
        <f t="shared" si="10"/>
        <v>45762</v>
      </c>
      <c r="D134" t="s">
        <v>78</v>
      </c>
      <c r="E134">
        <v>206.53299999999999</v>
      </c>
      <c r="F134">
        <v>206.488</v>
      </c>
      <c r="G134">
        <v>2.5750000000000002</v>
      </c>
      <c r="H134">
        <v>189.27</v>
      </c>
      <c r="I134">
        <v>0.98962962962962964</v>
      </c>
      <c r="J134">
        <v>212.31100000000001</v>
      </c>
      <c r="K134">
        <v>0</v>
      </c>
      <c r="L134">
        <v>0.41</v>
      </c>
      <c r="M134">
        <v>-21.792000000000002</v>
      </c>
      <c r="N134">
        <v>821.08799999999997</v>
      </c>
      <c r="O134">
        <v>846.16300000000001</v>
      </c>
      <c r="P134">
        <v>42.280999999999999</v>
      </c>
      <c r="Q134">
        <v>746.61400000000003</v>
      </c>
      <c r="R134">
        <v>945.71100000000001</v>
      </c>
      <c r="S134">
        <v>1189.7170000000001</v>
      </c>
      <c r="T134">
        <v>1194.5820000000001</v>
      </c>
      <c r="U134">
        <v>46.201000000000001</v>
      </c>
      <c r="V134">
        <v>1045.26</v>
      </c>
      <c r="W134">
        <v>1294.1310000000001</v>
      </c>
      <c r="X134">
        <v>3022.3829999999998</v>
      </c>
      <c r="Y134">
        <v>3086.0050000000001</v>
      </c>
      <c r="Z134">
        <v>182.19900000000001</v>
      </c>
      <c r="AA134">
        <v>2588.2620000000002</v>
      </c>
      <c r="AB134">
        <v>3334.8760000000002</v>
      </c>
      <c r="AC134">
        <v>2.7</v>
      </c>
      <c r="AD134">
        <v>207.57</v>
      </c>
      <c r="AE134">
        <v>207.59899999999999</v>
      </c>
      <c r="AF134">
        <v>2.5409999999999999</v>
      </c>
      <c r="AG134">
        <v>193.42099999999999</v>
      </c>
      <c r="AH134">
        <v>0</v>
      </c>
      <c r="AI134">
        <v>215.27199999999999</v>
      </c>
      <c r="AJ134">
        <v>1.4285714285714287E-2</v>
      </c>
      <c r="AK134">
        <v>0.41899999999999998</v>
      </c>
      <c r="AL134">
        <v>-29.023</v>
      </c>
      <c r="AM134">
        <v>352.27699999999999</v>
      </c>
      <c r="AN134">
        <v>351.19499999999999</v>
      </c>
      <c r="AO134">
        <v>12.766</v>
      </c>
      <c r="AP134">
        <v>351.19499999999999</v>
      </c>
      <c r="AQ134">
        <v>501.70600000000002</v>
      </c>
      <c r="AW134">
        <v>3553.453</v>
      </c>
      <c r="AX134">
        <v>3511.9450000000002</v>
      </c>
      <c r="AY134">
        <v>118.499</v>
      </c>
      <c r="AZ134">
        <v>3311.2629999999999</v>
      </c>
      <c r="BA134">
        <v>3913.3110000000001</v>
      </c>
      <c r="BB134">
        <v>2.8</v>
      </c>
      <c r="BC134">
        <v>209.506</v>
      </c>
      <c r="BD134">
        <v>209.715</v>
      </c>
      <c r="BE134">
        <v>3.3090000000000002</v>
      </c>
      <c r="BF134">
        <v>174.60400000000001</v>
      </c>
      <c r="BG134">
        <v>0</v>
      </c>
      <c r="BH134">
        <v>214.078</v>
      </c>
      <c r="BI134">
        <v>0.98962962962962964</v>
      </c>
      <c r="BJ134">
        <v>0.42299999999999999</v>
      </c>
      <c r="BK134">
        <v>-32.137</v>
      </c>
      <c r="BL134">
        <v>405.62</v>
      </c>
      <c r="BM134">
        <v>404.12400000000002</v>
      </c>
      <c r="BN134">
        <v>13.718</v>
      </c>
      <c r="BO134">
        <v>404.12400000000002</v>
      </c>
      <c r="BP134">
        <v>555.66999999999996</v>
      </c>
      <c r="BQ134">
        <v>1016.731</v>
      </c>
      <c r="BR134">
        <v>1010.309</v>
      </c>
      <c r="BS134">
        <v>41.005000000000003</v>
      </c>
      <c r="BT134">
        <v>959.79399999999998</v>
      </c>
      <c r="BU134">
        <v>1111.3399999999999</v>
      </c>
      <c r="BV134">
        <v>3365.8270000000002</v>
      </c>
      <c r="BW134">
        <v>3334.0210000000002</v>
      </c>
      <c r="BX134">
        <v>185.93799999999999</v>
      </c>
      <c r="BY134">
        <v>3030.9279999999999</v>
      </c>
      <c r="BZ134">
        <v>3940.2060000000001</v>
      </c>
      <c r="CA134">
        <v>2.7</v>
      </c>
      <c r="CB134">
        <v>5</v>
      </c>
      <c r="CC134">
        <v>2</v>
      </c>
      <c r="CD134">
        <v>1</v>
      </c>
      <c r="CE134">
        <v>0</v>
      </c>
      <c r="CF134">
        <v>1</v>
      </c>
    </row>
    <row r="135" spans="1:84" x14ac:dyDescent="0.35">
      <c r="A135" t="s">
        <v>540</v>
      </c>
      <c r="B135" t="str">
        <f t="shared" si="9"/>
        <v xml:space="preserve"> so_ru_2006_02_08_848</v>
      </c>
      <c r="C135" s="1">
        <f t="shared" si="10"/>
        <v>45762</v>
      </c>
      <c r="D135" t="s">
        <v>78</v>
      </c>
      <c r="E135">
        <v>255.13300000000001</v>
      </c>
      <c r="F135">
        <v>254.49299999999999</v>
      </c>
      <c r="G135">
        <v>3.7469999999999999</v>
      </c>
      <c r="H135">
        <v>247.554</v>
      </c>
      <c r="I135">
        <v>0.31836734693877555</v>
      </c>
      <c r="J135">
        <v>285.30500000000001</v>
      </c>
      <c r="K135">
        <v>5.4421768707482998E-3</v>
      </c>
      <c r="L135">
        <v>0.40100000000000002</v>
      </c>
      <c r="M135">
        <v>-26.045999999999999</v>
      </c>
      <c r="N135">
        <v>755.41700000000003</v>
      </c>
      <c r="O135">
        <v>747.45799999999997</v>
      </c>
      <c r="P135">
        <v>98.986999999999995</v>
      </c>
      <c r="Q135">
        <v>311.44099999999997</v>
      </c>
      <c r="R135">
        <v>1058.8979999999999</v>
      </c>
      <c r="S135">
        <v>1177.624</v>
      </c>
      <c r="T135">
        <v>1183.4749999999999</v>
      </c>
      <c r="U135">
        <v>68.454999999999998</v>
      </c>
      <c r="V135">
        <v>1058.8979999999999</v>
      </c>
      <c r="W135">
        <v>1557.203</v>
      </c>
      <c r="X135">
        <v>2785.415</v>
      </c>
      <c r="Y135">
        <v>2740.6779999999999</v>
      </c>
      <c r="Z135">
        <v>165.36199999999999</v>
      </c>
      <c r="AA135">
        <v>2304.6610000000001</v>
      </c>
      <c r="AB135">
        <v>3924.1529999999998</v>
      </c>
      <c r="AC135">
        <v>2.94</v>
      </c>
      <c r="AD135">
        <v>258.96100000000001</v>
      </c>
      <c r="AE135">
        <v>258.32600000000002</v>
      </c>
      <c r="AF135">
        <v>19.669</v>
      </c>
      <c r="AG135">
        <v>124.828</v>
      </c>
      <c r="AH135">
        <v>0.97210144927536235</v>
      </c>
      <c r="AI135">
        <v>297.97300000000001</v>
      </c>
      <c r="AJ135">
        <v>0</v>
      </c>
      <c r="AK135">
        <v>2.0390000000000001</v>
      </c>
      <c r="AL135">
        <v>-32.375</v>
      </c>
      <c r="AM135">
        <v>314.58999999999997</v>
      </c>
      <c r="AN135">
        <v>318.642</v>
      </c>
      <c r="AO135">
        <v>23.954000000000001</v>
      </c>
      <c r="AP135">
        <v>254.91300000000001</v>
      </c>
      <c r="AQ135">
        <v>446.09800000000001</v>
      </c>
      <c r="AR135">
        <v>1483.96</v>
      </c>
      <c r="AS135">
        <v>1402.0229999999999</v>
      </c>
      <c r="AT135">
        <v>305.72500000000002</v>
      </c>
      <c r="AU135">
        <v>1338.2950000000001</v>
      </c>
      <c r="AV135">
        <v>2421.6759999999999</v>
      </c>
      <c r="AW135">
        <v>3378.3339999999998</v>
      </c>
      <c r="AX135">
        <v>3377.6010000000001</v>
      </c>
      <c r="AY135">
        <v>233.876</v>
      </c>
      <c r="AZ135">
        <v>2995.2310000000002</v>
      </c>
      <c r="BA135">
        <v>4206.0690000000004</v>
      </c>
      <c r="BB135">
        <v>2.76</v>
      </c>
      <c r="BC135">
        <v>260.42</v>
      </c>
      <c r="BD135">
        <v>260.06700000000001</v>
      </c>
      <c r="BE135">
        <v>6.9960000000000004</v>
      </c>
      <c r="BF135">
        <v>240.233</v>
      </c>
      <c r="BG135">
        <v>0.98298611111111112</v>
      </c>
      <c r="BH135">
        <v>317.26600000000002</v>
      </c>
      <c r="BI135">
        <v>0</v>
      </c>
      <c r="BJ135">
        <v>0.48</v>
      </c>
      <c r="BK135">
        <v>-30.048999999999999</v>
      </c>
      <c r="BL135">
        <v>333.61</v>
      </c>
      <c r="BM135">
        <v>317.72300000000001</v>
      </c>
      <c r="BN135">
        <v>29.945</v>
      </c>
      <c r="BO135">
        <v>317.72300000000001</v>
      </c>
      <c r="BP135">
        <v>444.81299999999999</v>
      </c>
      <c r="BQ135">
        <v>1105.6769999999999</v>
      </c>
      <c r="BR135">
        <v>1080.259</v>
      </c>
      <c r="BS135">
        <v>78.234999999999999</v>
      </c>
      <c r="BT135">
        <v>1016.715</v>
      </c>
      <c r="BU135">
        <v>1397.9829999999999</v>
      </c>
      <c r="BV135">
        <v>3987.8670000000002</v>
      </c>
      <c r="BW135">
        <v>4003.3139999999999</v>
      </c>
      <c r="BX135">
        <v>350.46699999999998</v>
      </c>
      <c r="BY135">
        <v>2859.51</v>
      </c>
      <c r="BZ135">
        <v>4956.4840000000004</v>
      </c>
      <c r="CA135">
        <v>2.88</v>
      </c>
      <c r="CB135">
        <v>7</v>
      </c>
      <c r="CC135">
        <v>1</v>
      </c>
      <c r="CD135">
        <v>1</v>
      </c>
      <c r="CE135">
        <v>6</v>
      </c>
      <c r="CF135">
        <v>4</v>
      </c>
    </row>
    <row r="136" spans="1:84" x14ac:dyDescent="0.35">
      <c r="A136" t="s">
        <v>541</v>
      </c>
      <c r="B136" t="str">
        <f>_xlfn.TEXTBEFORE(_xlfn.TEXTAFTER(A136,"-"),"_ONLY_VOWELS")</f>
        <v xml:space="preserve"> so_vi_2004_10_14_130</v>
      </c>
      <c r="C136" s="1">
        <f t="shared" si="10"/>
        <v>45762</v>
      </c>
      <c r="D136" t="s">
        <v>78</v>
      </c>
      <c r="E136">
        <v>188.59700000000001</v>
      </c>
      <c r="F136">
        <v>187.60300000000001</v>
      </c>
      <c r="G136">
        <v>4.8609999999999998</v>
      </c>
      <c r="H136">
        <v>181.05600000000001</v>
      </c>
      <c r="I136">
        <v>7.1019108280254775E-2</v>
      </c>
      <c r="J136">
        <v>220.5</v>
      </c>
      <c r="K136">
        <v>7.0063694267515917E-3</v>
      </c>
      <c r="L136">
        <v>0.79100000000000004</v>
      </c>
      <c r="M136">
        <v>-16.952999999999999</v>
      </c>
      <c r="N136">
        <v>799.26800000000003</v>
      </c>
      <c r="O136">
        <v>812.48699999999997</v>
      </c>
      <c r="P136">
        <v>45.460999999999999</v>
      </c>
      <c r="Q136">
        <v>541.65800000000002</v>
      </c>
      <c r="R136">
        <v>1083.316</v>
      </c>
      <c r="S136">
        <v>1083.316</v>
      </c>
      <c r="T136">
        <v>1083.316</v>
      </c>
      <c r="U136">
        <v>41.94</v>
      </c>
      <c r="V136">
        <v>993.04</v>
      </c>
      <c r="W136">
        <v>1354.145</v>
      </c>
      <c r="X136">
        <v>3032.9630000000002</v>
      </c>
      <c r="Y136">
        <v>3024.2579999999998</v>
      </c>
      <c r="Z136">
        <v>215.82400000000001</v>
      </c>
      <c r="AA136">
        <v>2663.1529999999998</v>
      </c>
      <c r="AB136">
        <v>3836.7449999999999</v>
      </c>
      <c r="AC136">
        <v>3.14</v>
      </c>
      <c r="AD136">
        <v>189.82599999999999</v>
      </c>
      <c r="AE136">
        <v>189.96899999999999</v>
      </c>
      <c r="AF136">
        <v>7.4329999999999998</v>
      </c>
      <c r="AG136">
        <v>126.413</v>
      </c>
      <c r="AH136">
        <v>0.99313186813186816</v>
      </c>
      <c r="AI136">
        <v>210.57300000000001</v>
      </c>
      <c r="AJ136">
        <v>5.4945054945054941E-3</v>
      </c>
      <c r="AK136">
        <v>0.94899999999999995</v>
      </c>
      <c r="AL136">
        <v>-28.853000000000002</v>
      </c>
      <c r="AM136">
        <v>315.75599999999997</v>
      </c>
      <c r="AN136">
        <v>319.23500000000001</v>
      </c>
      <c r="AO136">
        <v>12.157</v>
      </c>
      <c r="AP136">
        <v>273.63</v>
      </c>
      <c r="AQ136">
        <v>319.23500000000001</v>
      </c>
      <c r="AR136">
        <v>2268.9160000000002</v>
      </c>
      <c r="AS136">
        <v>2280.248</v>
      </c>
      <c r="AT136">
        <v>54.337000000000003</v>
      </c>
      <c r="AU136">
        <v>1824.1990000000001</v>
      </c>
      <c r="AV136">
        <v>2371.4580000000001</v>
      </c>
      <c r="AW136">
        <v>3349.6149999999998</v>
      </c>
      <c r="AX136">
        <v>3374.7669999999998</v>
      </c>
      <c r="AY136">
        <v>138.327</v>
      </c>
      <c r="AZ136">
        <v>2964.3229999999999</v>
      </c>
      <c r="BA136">
        <v>3785.212</v>
      </c>
      <c r="BB136">
        <v>3.64</v>
      </c>
      <c r="BC136">
        <v>190.494</v>
      </c>
      <c r="BD136">
        <v>188.34700000000001</v>
      </c>
      <c r="BE136">
        <v>8.19</v>
      </c>
      <c r="BF136">
        <v>185.072</v>
      </c>
      <c r="BG136">
        <v>0.82576687116564429</v>
      </c>
      <c r="BH136">
        <v>232.10499999999999</v>
      </c>
      <c r="BI136">
        <v>0.98435582822085899</v>
      </c>
      <c r="BJ136">
        <v>0.64500000000000002</v>
      </c>
      <c r="BK136">
        <v>-30.137</v>
      </c>
      <c r="BL136">
        <v>362.94299999999998</v>
      </c>
      <c r="BM136">
        <v>358.90100000000001</v>
      </c>
      <c r="BN136">
        <v>12.903</v>
      </c>
      <c r="BO136">
        <v>358.90100000000001</v>
      </c>
      <c r="BP136">
        <v>403.76400000000001</v>
      </c>
      <c r="BQ136">
        <v>1121.8779999999999</v>
      </c>
      <c r="BR136">
        <v>1121.567</v>
      </c>
      <c r="BS136">
        <v>43.91</v>
      </c>
      <c r="BT136">
        <v>986.97900000000004</v>
      </c>
      <c r="BU136">
        <v>1301.0170000000001</v>
      </c>
      <c r="BV136">
        <v>3294.1570000000002</v>
      </c>
      <c r="BW136">
        <v>3274.9749999999999</v>
      </c>
      <c r="BX136">
        <v>220.97</v>
      </c>
      <c r="BY136">
        <v>2646.8969999999999</v>
      </c>
      <c r="BZ136">
        <v>4217.0910000000003</v>
      </c>
      <c r="CA136">
        <v>3.26</v>
      </c>
      <c r="CB136">
        <v>2</v>
      </c>
      <c r="CC136">
        <v>5</v>
      </c>
      <c r="CD136">
        <v>0</v>
      </c>
      <c r="CE136">
        <v>5</v>
      </c>
      <c r="CF136">
        <v>1</v>
      </c>
    </row>
    <row r="137" spans="1:84" x14ac:dyDescent="0.35">
      <c r="A137" t="s">
        <v>542</v>
      </c>
      <c r="B137" t="str">
        <f t="shared" ref="B137:B142" si="11">_xlfn.TEXTAFTER(A137,"-")</f>
        <v xml:space="preserve"> so_vi_2006_01_30_222</v>
      </c>
      <c r="C137" s="1">
        <f t="shared" si="10"/>
        <v>45762</v>
      </c>
      <c r="D137" t="s">
        <v>78</v>
      </c>
      <c r="E137">
        <v>190.923</v>
      </c>
      <c r="F137">
        <v>190.55600000000001</v>
      </c>
      <c r="G137">
        <v>2.512</v>
      </c>
      <c r="H137">
        <v>187.31800000000001</v>
      </c>
      <c r="I137">
        <v>0.97391304347826102</v>
      </c>
      <c r="J137">
        <v>204.57300000000001</v>
      </c>
      <c r="K137">
        <v>9.5652173913043474E-3</v>
      </c>
      <c r="L137">
        <v>0.41899999999999998</v>
      </c>
      <c r="M137">
        <v>-23.274999999999999</v>
      </c>
      <c r="N137">
        <v>672.40200000000004</v>
      </c>
      <c r="O137">
        <v>676.38</v>
      </c>
      <c r="P137">
        <v>36.508000000000003</v>
      </c>
      <c r="Q137">
        <v>496.012</v>
      </c>
      <c r="R137">
        <v>811.65599999999995</v>
      </c>
      <c r="S137">
        <v>1010.592</v>
      </c>
      <c r="T137">
        <v>992.02499999999998</v>
      </c>
      <c r="U137">
        <v>35.31</v>
      </c>
      <c r="V137">
        <v>946.93299999999999</v>
      </c>
      <c r="W137">
        <v>1127.3009999999999</v>
      </c>
      <c r="X137">
        <v>2720.9940000000001</v>
      </c>
      <c r="Y137">
        <v>2705.5210000000002</v>
      </c>
      <c r="Z137">
        <v>60.027999999999999</v>
      </c>
      <c r="AA137">
        <v>2570.2449999999999</v>
      </c>
      <c r="AB137">
        <v>2840.7979999999998</v>
      </c>
      <c r="AC137">
        <v>2.2999999999999998</v>
      </c>
      <c r="AD137">
        <v>195.41300000000001</v>
      </c>
      <c r="AE137">
        <v>194.94800000000001</v>
      </c>
      <c r="AF137">
        <v>10.657999999999999</v>
      </c>
      <c r="AG137">
        <v>108.92700000000001</v>
      </c>
      <c r="AH137">
        <v>0.98526315789473695</v>
      </c>
      <c r="AI137">
        <v>235.82900000000001</v>
      </c>
      <c r="AJ137">
        <v>0</v>
      </c>
      <c r="AK137">
        <v>1.3879999999999999</v>
      </c>
      <c r="AL137">
        <v>-28.52</v>
      </c>
      <c r="AM137">
        <v>350.721</v>
      </c>
      <c r="AN137">
        <v>329.10399999999998</v>
      </c>
      <c r="AO137">
        <v>24.634</v>
      </c>
      <c r="AP137">
        <v>282.08999999999997</v>
      </c>
      <c r="AQ137">
        <v>376.11900000000003</v>
      </c>
      <c r="AR137">
        <v>2429.817</v>
      </c>
      <c r="AS137">
        <v>2444.7759999999998</v>
      </c>
      <c r="AT137">
        <v>68.575000000000003</v>
      </c>
      <c r="AU137">
        <v>2068.6570000000002</v>
      </c>
      <c r="AV137">
        <v>2491.7910000000002</v>
      </c>
      <c r="AW137">
        <v>3378.1289999999999</v>
      </c>
      <c r="AX137">
        <v>3385.0749999999998</v>
      </c>
      <c r="AY137">
        <v>133.46299999999999</v>
      </c>
      <c r="AZ137">
        <v>2726.866</v>
      </c>
      <c r="BA137">
        <v>3761.194</v>
      </c>
      <c r="BB137">
        <v>1.9</v>
      </c>
      <c r="BC137">
        <v>188.64500000000001</v>
      </c>
      <c r="BD137">
        <v>190.08600000000001</v>
      </c>
      <c r="BE137">
        <v>11.997</v>
      </c>
      <c r="BF137">
        <v>98.751999999999995</v>
      </c>
      <c r="BG137">
        <v>0.97330097087378631</v>
      </c>
      <c r="BH137">
        <v>205.38900000000001</v>
      </c>
      <c r="BI137">
        <v>0</v>
      </c>
      <c r="BJ137">
        <v>1.7110000000000001</v>
      </c>
      <c r="BK137">
        <v>-30.86</v>
      </c>
      <c r="BL137">
        <v>362.35199999999998</v>
      </c>
      <c r="BM137">
        <v>358.90100000000001</v>
      </c>
      <c r="BN137">
        <v>12.021000000000001</v>
      </c>
      <c r="BO137">
        <v>358.90100000000001</v>
      </c>
      <c r="BP137">
        <v>403.76400000000001</v>
      </c>
      <c r="BQ137">
        <v>1022.474</v>
      </c>
      <c r="BR137">
        <v>1031.8409999999999</v>
      </c>
      <c r="BS137">
        <v>50.277000000000001</v>
      </c>
      <c r="BT137">
        <v>986.97900000000004</v>
      </c>
      <c r="BU137">
        <v>1390.7429999999999</v>
      </c>
      <c r="BV137">
        <v>2991.9949999999999</v>
      </c>
      <c r="BW137">
        <v>3005.799</v>
      </c>
      <c r="BX137">
        <v>125.06100000000001</v>
      </c>
      <c r="BY137">
        <v>2691.76</v>
      </c>
      <c r="BZ137">
        <v>3319.837</v>
      </c>
      <c r="CA137">
        <v>2.06</v>
      </c>
      <c r="CB137">
        <v>8</v>
      </c>
      <c r="CC137">
        <v>2</v>
      </c>
      <c r="CD137">
        <v>0</v>
      </c>
      <c r="CE137">
        <v>1</v>
      </c>
      <c r="CF137">
        <v>0</v>
      </c>
    </row>
    <row r="138" spans="1:84" x14ac:dyDescent="0.35">
      <c r="A138" t="s">
        <v>543</v>
      </c>
      <c r="B138" t="str">
        <f t="shared" si="11"/>
        <v xml:space="preserve"> te_li_2005_06_12_911</v>
      </c>
      <c r="C138" s="1">
        <f t="shared" si="10"/>
        <v>45762</v>
      </c>
      <c r="D138" t="s">
        <v>78</v>
      </c>
      <c r="E138">
        <v>190.95699999999999</v>
      </c>
      <c r="F138">
        <v>189.154</v>
      </c>
      <c r="G138">
        <v>9.8620000000000001</v>
      </c>
      <c r="H138">
        <v>181.90899999999999</v>
      </c>
      <c r="I138">
        <v>0.23561643835616436</v>
      </c>
      <c r="J138">
        <v>259.84800000000001</v>
      </c>
      <c r="K138">
        <v>7.5342465753424652E-3</v>
      </c>
      <c r="L138">
        <v>1.52</v>
      </c>
      <c r="M138">
        <v>-21.547000000000001</v>
      </c>
      <c r="N138">
        <v>708.60900000000004</v>
      </c>
      <c r="O138">
        <v>725.92600000000004</v>
      </c>
      <c r="P138">
        <v>35.348999999999997</v>
      </c>
      <c r="Q138">
        <v>453.70400000000001</v>
      </c>
      <c r="R138">
        <v>771.29600000000005</v>
      </c>
      <c r="S138">
        <v>1175.191</v>
      </c>
      <c r="T138">
        <v>1179.6300000000001</v>
      </c>
      <c r="U138">
        <v>88.994</v>
      </c>
      <c r="V138">
        <v>1088.8889999999999</v>
      </c>
      <c r="W138">
        <v>1905.556</v>
      </c>
      <c r="X138">
        <v>2427.8339999999998</v>
      </c>
      <c r="Y138">
        <v>2450</v>
      </c>
      <c r="Z138">
        <v>107.125</v>
      </c>
      <c r="AA138">
        <v>2177.7779999999998</v>
      </c>
      <c r="AB138">
        <v>2949.0740000000001</v>
      </c>
      <c r="AC138">
        <v>2.92</v>
      </c>
      <c r="AD138">
        <v>191.429</v>
      </c>
      <c r="AE138">
        <v>192.03800000000001</v>
      </c>
      <c r="AF138">
        <v>19.911999999999999</v>
      </c>
      <c r="AG138">
        <v>97.876000000000005</v>
      </c>
      <c r="AH138">
        <v>0.79099378881987581</v>
      </c>
      <c r="AI138">
        <v>295.40699999999998</v>
      </c>
      <c r="AJ138">
        <v>6.2111801242236021E-3</v>
      </c>
      <c r="AK138">
        <v>2.9220000000000002</v>
      </c>
      <c r="AL138">
        <v>-21.623000000000001</v>
      </c>
      <c r="AM138">
        <v>358.62200000000001</v>
      </c>
      <c r="AN138">
        <v>360.36799999999999</v>
      </c>
      <c r="AO138">
        <v>11.815</v>
      </c>
      <c r="AP138">
        <v>315.322</v>
      </c>
      <c r="AQ138">
        <v>405.41399999999999</v>
      </c>
      <c r="AR138">
        <v>2232.1640000000002</v>
      </c>
      <c r="AS138">
        <v>2252.2979999999998</v>
      </c>
      <c r="AT138">
        <v>171.03800000000001</v>
      </c>
      <c r="AU138">
        <v>1531.5630000000001</v>
      </c>
      <c r="AV138">
        <v>2477.5279999999998</v>
      </c>
      <c r="AW138">
        <v>3358.114</v>
      </c>
      <c r="AX138">
        <v>3333.4009999999998</v>
      </c>
      <c r="AY138">
        <v>267.09800000000001</v>
      </c>
      <c r="AZ138">
        <v>2927.9879999999998</v>
      </c>
      <c r="BA138">
        <v>4189.2749999999996</v>
      </c>
      <c r="BB138">
        <v>3.22</v>
      </c>
      <c r="BC138">
        <v>194.85400000000001</v>
      </c>
      <c r="BD138">
        <v>194.76300000000001</v>
      </c>
      <c r="BE138">
        <v>22.603999999999999</v>
      </c>
      <c r="BF138">
        <v>96.953999999999994</v>
      </c>
      <c r="BG138">
        <v>0.47643312101910829</v>
      </c>
      <c r="BH138">
        <v>321.89800000000002</v>
      </c>
      <c r="BI138">
        <v>7.0063694267515917E-3</v>
      </c>
      <c r="BJ138">
        <v>4.524</v>
      </c>
      <c r="BK138">
        <v>-22.501000000000001</v>
      </c>
      <c r="BL138">
        <v>393.767</v>
      </c>
      <c r="BM138">
        <v>371.36799999999999</v>
      </c>
      <c r="BN138">
        <v>37.71</v>
      </c>
      <c r="BO138">
        <v>324.947</v>
      </c>
      <c r="BP138">
        <v>742.73699999999997</v>
      </c>
      <c r="BQ138">
        <v>1093.904</v>
      </c>
      <c r="BR138">
        <v>1067.684</v>
      </c>
      <c r="BS138">
        <v>81.343000000000004</v>
      </c>
      <c r="BT138">
        <v>974.84199999999998</v>
      </c>
      <c r="BU138">
        <v>1531.895</v>
      </c>
      <c r="BV138">
        <v>3483.1909999999998</v>
      </c>
      <c r="BW138">
        <v>3504.7890000000002</v>
      </c>
      <c r="BX138">
        <v>220.03399999999999</v>
      </c>
      <c r="BY138">
        <v>2924.5259999999998</v>
      </c>
      <c r="BZ138">
        <v>4038.6320000000001</v>
      </c>
      <c r="CA138">
        <v>3.14</v>
      </c>
    </row>
    <row r="139" spans="1:84" x14ac:dyDescent="0.35">
      <c r="A139" t="s">
        <v>544</v>
      </c>
      <c r="B139" t="str">
        <f t="shared" si="11"/>
        <v xml:space="preserve"> va_li_2004_04_15_257</v>
      </c>
      <c r="C139" s="1">
        <f t="shared" si="10"/>
        <v>45762</v>
      </c>
      <c r="D139" t="s">
        <v>78</v>
      </c>
      <c r="E139">
        <v>173.59700000000001</v>
      </c>
      <c r="F139">
        <v>173.232</v>
      </c>
      <c r="G139">
        <v>3.7250000000000001</v>
      </c>
      <c r="H139">
        <v>167.95400000000001</v>
      </c>
      <c r="I139">
        <v>8.0714285714285711E-2</v>
      </c>
      <c r="J139">
        <v>199.80600000000001</v>
      </c>
      <c r="K139">
        <v>0</v>
      </c>
      <c r="L139">
        <v>0.51900000000000002</v>
      </c>
      <c r="M139">
        <v>-25.155000000000001</v>
      </c>
      <c r="N139">
        <v>700.351</v>
      </c>
      <c r="O139">
        <v>706.59799999999996</v>
      </c>
      <c r="P139">
        <v>86.683999999999997</v>
      </c>
      <c r="Q139">
        <v>457.21</v>
      </c>
      <c r="R139">
        <v>997.54899999999998</v>
      </c>
      <c r="S139">
        <v>1218.586</v>
      </c>
      <c r="T139">
        <v>1205.3720000000001</v>
      </c>
      <c r="U139">
        <v>68.231999999999999</v>
      </c>
      <c r="V139">
        <v>1122.2429999999999</v>
      </c>
      <c r="W139">
        <v>1621.018</v>
      </c>
      <c r="X139">
        <v>3264.38</v>
      </c>
      <c r="Y139">
        <v>3242.0360000000001</v>
      </c>
      <c r="Z139">
        <v>253.006</v>
      </c>
      <c r="AA139">
        <v>2784.826</v>
      </c>
      <c r="AB139">
        <v>4904.6180000000004</v>
      </c>
      <c r="AC139">
        <v>4.2</v>
      </c>
      <c r="AD139">
        <v>172.41499999999999</v>
      </c>
      <c r="AE139">
        <v>171.786</v>
      </c>
      <c r="AF139">
        <v>4.633</v>
      </c>
      <c r="AG139">
        <v>165.25700000000001</v>
      </c>
      <c r="AH139">
        <v>0.10452127659574469</v>
      </c>
      <c r="AI139">
        <v>212.01900000000001</v>
      </c>
      <c r="AJ139">
        <v>0</v>
      </c>
      <c r="AK139">
        <v>0.749</v>
      </c>
      <c r="AL139">
        <v>-24.312999999999999</v>
      </c>
      <c r="AM139">
        <v>323.51400000000001</v>
      </c>
      <c r="AN139">
        <v>327.88099999999997</v>
      </c>
      <c r="AO139">
        <v>12.698</v>
      </c>
      <c r="AP139">
        <v>286.89600000000002</v>
      </c>
      <c r="AQ139">
        <v>327.88099999999997</v>
      </c>
      <c r="AR139">
        <v>2365.6190000000001</v>
      </c>
      <c r="AS139">
        <v>2377.1379999999999</v>
      </c>
      <c r="AT139">
        <v>73.954999999999998</v>
      </c>
      <c r="AU139">
        <v>2131.2269999999999</v>
      </c>
      <c r="AV139">
        <v>2500.0929999999998</v>
      </c>
      <c r="AW139">
        <v>3587.404</v>
      </c>
      <c r="AX139">
        <v>3565.7060000000001</v>
      </c>
      <c r="AY139">
        <v>175.21799999999999</v>
      </c>
      <c r="AZ139">
        <v>3114.87</v>
      </c>
      <c r="BA139">
        <v>4016.5430000000001</v>
      </c>
      <c r="BB139">
        <v>3.76</v>
      </c>
      <c r="BC139">
        <v>172.43199999999999</v>
      </c>
      <c r="BD139">
        <v>172.02600000000001</v>
      </c>
      <c r="BE139">
        <v>3.835</v>
      </c>
      <c r="BF139">
        <v>167.226</v>
      </c>
      <c r="BG139">
        <v>8.7198067632850249E-2</v>
      </c>
      <c r="BH139">
        <v>194.76300000000001</v>
      </c>
      <c r="BI139">
        <v>1.0628019323671498E-2</v>
      </c>
      <c r="BJ139">
        <v>0.48699999999999999</v>
      </c>
      <c r="BK139">
        <v>-29.806999999999999</v>
      </c>
      <c r="BL139">
        <v>348.94900000000001</v>
      </c>
      <c r="BM139">
        <v>330.02800000000002</v>
      </c>
      <c r="BN139">
        <v>21.248999999999999</v>
      </c>
      <c r="BO139">
        <v>330.02800000000002</v>
      </c>
      <c r="BP139">
        <v>412.53500000000003</v>
      </c>
      <c r="BQ139">
        <v>1039.1790000000001</v>
      </c>
      <c r="BR139">
        <v>1031.338</v>
      </c>
      <c r="BS139">
        <v>49.192</v>
      </c>
      <c r="BT139">
        <v>990.08399999999995</v>
      </c>
      <c r="BU139">
        <v>1402.6189999999999</v>
      </c>
      <c r="BV139">
        <v>3590.9969999999998</v>
      </c>
      <c r="BW139">
        <v>3589.0549999999998</v>
      </c>
      <c r="BX139">
        <v>202.63800000000001</v>
      </c>
      <c r="BY139">
        <v>2887.7460000000001</v>
      </c>
      <c r="BZ139">
        <v>4290.3649999999998</v>
      </c>
      <c r="CA139">
        <v>4.1399999999999997</v>
      </c>
      <c r="CB139">
        <v>7</v>
      </c>
      <c r="CC139">
        <v>3</v>
      </c>
      <c r="CD139">
        <v>0</v>
      </c>
      <c r="CE139">
        <v>3</v>
      </c>
      <c r="CF139">
        <v>3</v>
      </c>
    </row>
    <row r="140" spans="1:84" x14ac:dyDescent="0.35">
      <c r="A140" t="s">
        <v>545</v>
      </c>
      <c r="B140" t="str">
        <f t="shared" si="11"/>
        <v xml:space="preserve"> va_ma_2005_05_31_567</v>
      </c>
      <c r="C140" s="1">
        <f t="shared" si="10"/>
        <v>45762</v>
      </c>
      <c r="D140" t="s">
        <v>78</v>
      </c>
      <c r="E140">
        <v>168.91</v>
      </c>
      <c r="F140">
        <v>166.191</v>
      </c>
      <c r="G140">
        <v>31.015999999999998</v>
      </c>
      <c r="H140">
        <v>102.38800000000001</v>
      </c>
      <c r="I140">
        <v>0.98835616438356166</v>
      </c>
      <c r="J140">
        <v>341.86</v>
      </c>
      <c r="K140">
        <v>0.95513698630136989</v>
      </c>
      <c r="L140">
        <v>7.0149999999999997</v>
      </c>
      <c r="M140">
        <v>-27.036999999999999</v>
      </c>
      <c r="N140">
        <v>438.28</v>
      </c>
      <c r="O140">
        <v>415.64600000000002</v>
      </c>
      <c r="P140">
        <v>109.10599999999999</v>
      </c>
      <c r="Q140">
        <v>290.952</v>
      </c>
      <c r="R140">
        <v>1039.114</v>
      </c>
      <c r="S140">
        <v>1263.4190000000001</v>
      </c>
      <c r="T140">
        <v>1288.501</v>
      </c>
      <c r="U140">
        <v>106.129</v>
      </c>
      <c r="V140">
        <v>955.98500000000001</v>
      </c>
      <c r="W140">
        <v>1745.712</v>
      </c>
      <c r="X140">
        <v>3153.3649999999998</v>
      </c>
      <c r="Y140">
        <v>3158.9070000000002</v>
      </c>
      <c r="Z140">
        <v>124.86</v>
      </c>
      <c r="AA140">
        <v>2743.261</v>
      </c>
      <c r="AB140">
        <v>3491.4229999999998</v>
      </c>
      <c r="AC140">
        <v>2.92</v>
      </c>
      <c r="AD140">
        <v>163.96100000000001</v>
      </c>
      <c r="AE140">
        <v>165.25700000000001</v>
      </c>
      <c r="AF140">
        <v>24.231000000000002</v>
      </c>
      <c r="AG140">
        <v>92.453000000000003</v>
      </c>
      <c r="AH140">
        <v>0.96232876712328774</v>
      </c>
      <c r="AI140">
        <v>271.26499999999999</v>
      </c>
      <c r="AJ140">
        <v>0</v>
      </c>
      <c r="AK140">
        <v>4.9809999999999999</v>
      </c>
      <c r="AL140">
        <v>-22.774999999999999</v>
      </c>
      <c r="AM140">
        <v>299.51799999999997</v>
      </c>
      <c r="AN140">
        <v>278.86200000000002</v>
      </c>
      <c r="AO140">
        <v>35.581000000000003</v>
      </c>
      <c r="AP140">
        <v>278.86200000000002</v>
      </c>
      <c r="AQ140">
        <v>398.37400000000002</v>
      </c>
      <c r="AR140">
        <v>2029.452</v>
      </c>
      <c r="AS140">
        <v>2091.4630000000002</v>
      </c>
      <c r="AT140">
        <v>296.73500000000001</v>
      </c>
      <c r="AU140">
        <v>995.93499999999995</v>
      </c>
      <c r="AV140">
        <v>2390.2440000000001</v>
      </c>
      <c r="AW140">
        <v>3428.0949999999998</v>
      </c>
      <c r="AX140">
        <v>3505.6909999999998</v>
      </c>
      <c r="AY140">
        <v>261.702</v>
      </c>
      <c r="AZ140">
        <v>2549.5929999999998</v>
      </c>
      <c r="BA140">
        <v>3824.39</v>
      </c>
      <c r="BB140">
        <v>2.92</v>
      </c>
      <c r="BC140">
        <v>165.61099999999999</v>
      </c>
      <c r="BD140">
        <v>164.072</v>
      </c>
      <c r="BE140">
        <v>9.9280000000000008</v>
      </c>
      <c r="BF140">
        <v>147.49199999999999</v>
      </c>
      <c r="BG140">
        <v>0.35044642857142855</v>
      </c>
      <c r="BH140">
        <v>237.64400000000001</v>
      </c>
      <c r="BI140">
        <v>1.1160714285714286E-2</v>
      </c>
      <c r="BJ140">
        <v>1.6659999999999999</v>
      </c>
      <c r="BK140">
        <v>-20.404</v>
      </c>
      <c r="BL140">
        <v>360.53500000000003</v>
      </c>
      <c r="BM140">
        <v>319.565</v>
      </c>
      <c r="BN140">
        <v>73.019000000000005</v>
      </c>
      <c r="BO140">
        <v>319.565</v>
      </c>
      <c r="BP140">
        <v>599.18499999999995</v>
      </c>
      <c r="BQ140">
        <v>1043.232</v>
      </c>
      <c r="BR140">
        <v>1038.587</v>
      </c>
      <c r="BS140">
        <v>57.616999999999997</v>
      </c>
      <c r="BT140">
        <v>998.64099999999996</v>
      </c>
      <c r="BU140">
        <v>1358.152</v>
      </c>
      <c r="BV140">
        <v>3297.3319999999999</v>
      </c>
      <c r="BW140">
        <v>3315.489</v>
      </c>
      <c r="BX140">
        <v>168.815</v>
      </c>
      <c r="BY140">
        <v>2836.1410000000001</v>
      </c>
      <c r="BZ140">
        <v>3635.0540000000001</v>
      </c>
      <c r="CA140">
        <v>2.2400000000000002</v>
      </c>
    </row>
    <row r="141" spans="1:84" x14ac:dyDescent="0.35">
      <c r="A141" t="s">
        <v>546</v>
      </c>
      <c r="B141" t="str">
        <f t="shared" si="11"/>
        <v xml:space="preserve"> vi_ma_2004_06_14_505</v>
      </c>
      <c r="C141" s="1">
        <f t="shared" si="10"/>
        <v>45762</v>
      </c>
      <c r="D141" t="s">
        <v>78</v>
      </c>
      <c r="E141">
        <v>184.56200000000001</v>
      </c>
      <c r="F141">
        <v>184.07900000000001</v>
      </c>
      <c r="G141">
        <v>3.234</v>
      </c>
      <c r="H141">
        <v>178.85300000000001</v>
      </c>
      <c r="I141">
        <v>0.18273809523809526</v>
      </c>
      <c r="J141">
        <v>207.042</v>
      </c>
      <c r="K141">
        <v>5.9523809523809529E-3</v>
      </c>
      <c r="L141">
        <v>0.40899999999999997</v>
      </c>
      <c r="M141">
        <v>-19.628</v>
      </c>
      <c r="N141">
        <v>765.3</v>
      </c>
      <c r="O141">
        <v>749.7</v>
      </c>
      <c r="P141">
        <v>61.029000000000003</v>
      </c>
      <c r="Q141">
        <v>617.4</v>
      </c>
      <c r="R141">
        <v>1014.3</v>
      </c>
      <c r="S141">
        <v>1031.819</v>
      </c>
      <c r="T141">
        <v>1014.3</v>
      </c>
      <c r="U141">
        <v>33.756999999999998</v>
      </c>
      <c r="V141">
        <v>970.2</v>
      </c>
      <c r="W141">
        <v>1146.5999999999999</v>
      </c>
      <c r="X141">
        <v>3237</v>
      </c>
      <c r="Y141">
        <v>3219.3</v>
      </c>
      <c r="Z141">
        <v>85.697000000000003</v>
      </c>
      <c r="AA141">
        <v>3042.9</v>
      </c>
      <c r="AB141">
        <v>3483.9</v>
      </c>
      <c r="AC141">
        <v>3.36</v>
      </c>
      <c r="AD141">
        <v>192.37100000000001</v>
      </c>
      <c r="AE141">
        <v>189.619</v>
      </c>
      <c r="AF141">
        <v>9.8109999999999999</v>
      </c>
      <c r="AG141">
        <v>187.09100000000001</v>
      </c>
      <c r="AH141">
        <v>0.97852941176470587</v>
      </c>
      <c r="AI141">
        <v>246.96</v>
      </c>
      <c r="AJ141">
        <v>5.8823529411764705E-3</v>
      </c>
      <c r="AK141">
        <v>0.41199999999999998</v>
      </c>
      <c r="AL141">
        <v>-28.571999999999999</v>
      </c>
      <c r="AM141">
        <v>362.05599999999998</v>
      </c>
      <c r="AN141">
        <v>362.96300000000002</v>
      </c>
      <c r="AO141">
        <v>6373</v>
      </c>
      <c r="AP141">
        <v>317.59300000000002</v>
      </c>
      <c r="AQ141">
        <v>362.96300000000002</v>
      </c>
      <c r="AR141">
        <v>2446.41</v>
      </c>
      <c r="AS141">
        <v>2450</v>
      </c>
      <c r="AT141">
        <v>74.102999999999994</v>
      </c>
      <c r="AU141">
        <v>2268.5189999999998</v>
      </c>
      <c r="AV141">
        <v>2631.4810000000002</v>
      </c>
      <c r="AW141">
        <v>3222.1860000000001</v>
      </c>
      <c r="AX141">
        <v>3221.2959999999998</v>
      </c>
      <c r="AY141">
        <v>100.979</v>
      </c>
      <c r="AZ141">
        <v>2994.444</v>
      </c>
      <c r="BA141">
        <v>3584.259</v>
      </c>
      <c r="BB141">
        <v>3.4</v>
      </c>
      <c r="BC141">
        <v>194.14400000000001</v>
      </c>
      <c r="BD141">
        <v>190.203</v>
      </c>
      <c r="BE141">
        <v>11.993</v>
      </c>
      <c r="BF141">
        <v>175</v>
      </c>
      <c r="BG141">
        <v>0.99822485207100597</v>
      </c>
      <c r="BH141">
        <v>245</v>
      </c>
      <c r="BI141">
        <v>1.2426035502958581E-2</v>
      </c>
      <c r="BJ141">
        <v>0.44</v>
      </c>
      <c r="BK141">
        <v>-30.61</v>
      </c>
      <c r="BL141">
        <v>378.23899999999998</v>
      </c>
      <c r="BM141">
        <v>367.5</v>
      </c>
      <c r="BN141">
        <v>25.074000000000002</v>
      </c>
      <c r="BO141">
        <v>367.5</v>
      </c>
      <c r="BP141">
        <v>505.31200000000001</v>
      </c>
      <c r="BQ141">
        <v>951.92700000000002</v>
      </c>
      <c r="BR141">
        <v>964.68700000000001</v>
      </c>
      <c r="BS141">
        <v>25.792000000000002</v>
      </c>
      <c r="BT141">
        <v>918.75</v>
      </c>
      <c r="BU141">
        <v>1010.625</v>
      </c>
      <c r="BV141">
        <v>3615.9380000000001</v>
      </c>
      <c r="BW141">
        <v>3629.0630000000001</v>
      </c>
      <c r="BX141">
        <v>113.1</v>
      </c>
      <c r="BY141">
        <v>2848.125</v>
      </c>
      <c r="BZ141">
        <v>3812.8130000000001</v>
      </c>
      <c r="CA141">
        <v>3.38</v>
      </c>
      <c r="CB141">
        <v>8</v>
      </c>
      <c r="CC141">
        <v>5</v>
      </c>
      <c r="CD141">
        <v>0</v>
      </c>
      <c r="CE141">
        <v>4</v>
      </c>
      <c r="CF141">
        <v>2</v>
      </c>
    </row>
    <row r="142" spans="1:84" x14ac:dyDescent="0.35">
      <c r="A142" t="s">
        <v>547</v>
      </c>
      <c r="B142" t="str">
        <f t="shared" si="11"/>
        <v xml:space="preserve"> vi_pi_2005_08_23_271</v>
      </c>
      <c r="C142" s="1">
        <f t="shared" si="10"/>
        <v>45762</v>
      </c>
      <c r="D142" t="s">
        <v>78</v>
      </c>
      <c r="E142">
        <v>218.578</v>
      </c>
      <c r="F142">
        <v>218.31700000000001</v>
      </c>
      <c r="G142">
        <v>3.0619999999999998</v>
      </c>
      <c r="H142">
        <v>199.29</v>
      </c>
      <c r="I142">
        <v>0.97500000000000009</v>
      </c>
      <c r="J142">
        <v>226.32</v>
      </c>
      <c r="K142">
        <v>2.5675675675675674E-2</v>
      </c>
      <c r="L142">
        <v>0.42399999999999999</v>
      </c>
      <c r="M142">
        <v>-27.01</v>
      </c>
      <c r="N142">
        <v>736.36400000000003</v>
      </c>
      <c r="O142">
        <v>747.45799999999997</v>
      </c>
      <c r="P142">
        <v>54.320999999999998</v>
      </c>
      <c r="Q142">
        <v>640.678</v>
      </c>
      <c r="R142">
        <v>961.01700000000005</v>
      </c>
      <c r="S142">
        <v>1360.4010000000001</v>
      </c>
      <c r="T142">
        <v>1388.136</v>
      </c>
      <c r="U142">
        <v>94.721999999999994</v>
      </c>
      <c r="V142">
        <v>1121.1859999999999</v>
      </c>
      <c r="W142">
        <v>1548.3050000000001</v>
      </c>
      <c r="X142">
        <v>2463.5590000000002</v>
      </c>
      <c r="Y142">
        <v>2455.9319999999998</v>
      </c>
      <c r="Z142">
        <v>77.328000000000003</v>
      </c>
      <c r="AA142">
        <v>2295.7629999999999</v>
      </c>
      <c r="AB142">
        <v>2722.8809999999999</v>
      </c>
      <c r="AC142">
        <v>1.48</v>
      </c>
      <c r="AD142">
        <v>219.20699999999999</v>
      </c>
      <c r="AE142">
        <v>219.09200000000001</v>
      </c>
      <c r="AF142">
        <v>3.677</v>
      </c>
      <c r="AG142">
        <v>211.874</v>
      </c>
      <c r="AH142">
        <v>0.54142857142857148</v>
      </c>
      <c r="AI142">
        <v>235.46899999999999</v>
      </c>
      <c r="AJ142">
        <v>0</v>
      </c>
      <c r="AK142">
        <v>0.77300000000000002</v>
      </c>
      <c r="AL142">
        <v>-29.736999999999998</v>
      </c>
      <c r="AM142">
        <v>389.55900000000003</v>
      </c>
      <c r="AN142">
        <v>374.18200000000002</v>
      </c>
      <c r="AO142">
        <v>42.24</v>
      </c>
      <c r="AP142">
        <v>374.18200000000002</v>
      </c>
      <c r="AQ142">
        <v>694.90899999999999</v>
      </c>
      <c r="AR142">
        <v>2597.4949999999999</v>
      </c>
      <c r="AS142">
        <v>2619.2730000000001</v>
      </c>
      <c r="AT142">
        <v>42.606999999999999</v>
      </c>
      <c r="AU142">
        <v>2512.364</v>
      </c>
      <c r="AV142">
        <v>2672.7269999999999</v>
      </c>
      <c r="AW142">
        <v>3469.42</v>
      </c>
      <c r="AX142">
        <v>3474.5450000000001</v>
      </c>
      <c r="AY142">
        <v>191.113</v>
      </c>
      <c r="AZ142">
        <v>3100.364</v>
      </c>
      <c r="BA142">
        <v>4276.3639999999996</v>
      </c>
      <c r="BB142">
        <v>1.4</v>
      </c>
      <c r="BC142">
        <v>221.874</v>
      </c>
      <c r="BD142">
        <v>221.44900000000001</v>
      </c>
      <c r="BE142">
        <v>3.34</v>
      </c>
      <c r="BF142">
        <v>210.57300000000001</v>
      </c>
      <c r="BG142">
        <v>0.97534246575342465</v>
      </c>
      <c r="BH142">
        <v>235.29</v>
      </c>
      <c r="BI142">
        <v>1.3013698630136987E-2</v>
      </c>
      <c r="BJ142">
        <v>0.45900000000000002</v>
      </c>
      <c r="BK142">
        <v>-31.186</v>
      </c>
      <c r="BL142">
        <v>425.15300000000002</v>
      </c>
      <c r="BM142">
        <v>432.88299999999998</v>
      </c>
      <c r="BN142">
        <v>30.042999999999999</v>
      </c>
      <c r="BO142">
        <v>378.77300000000002</v>
      </c>
      <c r="BP142">
        <v>541.10400000000004</v>
      </c>
      <c r="BQ142">
        <v>991.44299999999998</v>
      </c>
      <c r="BR142">
        <v>973.98800000000006</v>
      </c>
      <c r="BS142">
        <v>25.713000000000001</v>
      </c>
      <c r="BT142">
        <v>973.98800000000006</v>
      </c>
      <c r="BU142">
        <v>1028.098</v>
      </c>
      <c r="BV142">
        <v>3889.6260000000002</v>
      </c>
      <c r="BW142">
        <v>3895.951</v>
      </c>
      <c r="BX142">
        <v>180.74199999999999</v>
      </c>
      <c r="BY142">
        <v>3463.067</v>
      </c>
      <c r="BZ142">
        <v>4274.7240000000002</v>
      </c>
      <c r="CA142">
        <v>1.46</v>
      </c>
      <c r="CB142">
        <v>2</v>
      </c>
      <c r="CC142">
        <v>0</v>
      </c>
      <c r="CD142">
        <v>0</v>
      </c>
      <c r="CE142">
        <v>0</v>
      </c>
      <c r="CF142">
        <v>1</v>
      </c>
    </row>
  </sheetData>
  <sortState xmlns:xlrd2="http://schemas.microsoft.com/office/spreadsheetml/2017/richdata2" ref="A2:CA142">
    <sortCondition ref="B2:B1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BASELINE</vt:lpstr>
      <vt:lpstr>PRE</vt:lpstr>
      <vt:lpstr>POST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fedec</dc:creator>
  <cp:lastModifiedBy>Federico Calà</cp:lastModifiedBy>
  <dcterms:created xsi:type="dcterms:W3CDTF">2015-06-05T18:19:34Z</dcterms:created>
  <dcterms:modified xsi:type="dcterms:W3CDTF">2025-11-11T13:36:13Z</dcterms:modified>
</cp:coreProperties>
</file>